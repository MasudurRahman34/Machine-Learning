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Machine-Learning\Supervised\Regression\Simple Linear Regression\fuel consumtion\"/>
    </mc:Choice>
  </mc:AlternateContent>
  <xr:revisionPtr revIDLastSave="0" documentId="13_ncr:1_{1B4DDACE-AC4E-4C08-95EA-F71C5CB768D8}" xr6:coauthVersionLast="47" xr6:coauthVersionMax="47" xr10:uidLastSave="{00000000-0000-0000-0000-000000000000}"/>
  <bookViews>
    <workbookView xWindow="-120" yWindow="-120" windowWidth="29040" windowHeight="15720" activeTab="1" xr2:uid="{60CE5124-B310-4F9A-B2D2-E37C97BDDA74}"/>
  </bookViews>
  <sheets>
    <sheet name="FuelConsumptionCo2" sheetId="1" r:id="rId1"/>
    <sheet name="linear regression" sheetId="2" r:id="rId2"/>
  </sheets>
  <definedNames>
    <definedName name="_xlnm._FilterDatabase" localSheetId="0" hidden="1">FuelConsumptionCo2!$A$1:$M$1068</definedName>
  </definedNames>
  <calcPr calcId="181029"/>
  <fileRecoveryPr repairLoad="1"/>
</workbook>
</file>

<file path=xl/calcChain.xml><?xml version="1.0" encoding="utf-8"?>
<calcChain xmlns="http://schemas.openxmlformats.org/spreadsheetml/2006/main">
  <c r="N25" i="2" l="1"/>
  <c r="H21" i="2" s="1"/>
  <c r="H26" i="2" s="1"/>
  <c r="O1070" i="1"/>
  <c r="M1070" i="1"/>
  <c r="E1070" i="1"/>
  <c r="N30" i="2"/>
  <c r="N28" i="2"/>
  <c r="N27" i="2"/>
  <c r="N23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2" i="1"/>
  <c r="N21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2" i="1"/>
  <c r="N19" i="2"/>
  <c r="N17" i="2"/>
</calcChain>
</file>

<file path=xl/sharedStrings.xml><?xml version="1.0" encoding="utf-8"?>
<sst xmlns="http://schemas.openxmlformats.org/spreadsheetml/2006/main" count="5454" uniqueCount="851">
  <si>
    <t>MODELYEAR</t>
  </si>
  <si>
    <t>MAKE</t>
  </si>
  <si>
    <t>MODEL</t>
  </si>
  <si>
    <t>VEHICLECLASS</t>
  </si>
  <si>
    <t>ENGINESIZE</t>
  </si>
  <si>
    <t>CYLINDERS</t>
  </si>
  <si>
    <t>TRANSMISSION</t>
  </si>
  <si>
    <t>FUELTYPE</t>
  </si>
  <si>
    <t>FUELCONSUMPTION_CITY</t>
  </si>
  <si>
    <t>FUELCONSUMPTION_HWY</t>
  </si>
  <si>
    <t>FUELCONSUMPTION_COMB</t>
  </si>
  <si>
    <t>FUELCONSUMPTION_COMB_MPG</t>
  </si>
  <si>
    <t>CO2EMISSIONS</t>
  </si>
  <si>
    <t>ACURA</t>
  </si>
  <si>
    <t>ILX</t>
  </si>
  <si>
    <t>COMPACT</t>
  </si>
  <si>
    <t>AS5</t>
  </si>
  <si>
    <t>Z</t>
  </si>
  <si>
    <t>M6</t>
  </si>
  <si>
    <t>ILX HYBRID</t>
  </si>
  <si>
    <t>AV7</t>
  </si>
  <si>
    <t>MDX 4WD</t>
  </si>
  <si>
    <t>SUV - SMALL</t>
  </si>
  <si>
    <t>AS6</t>
  </si>
  <si>
    <t>RDX AWD</t>
  </si>
  <si>
    <t>RLX</t>
  </si>
  <si>
    <t>MID-SIZE</t>
  </si>
  <si>
    <t>TL</t>
  </si>
  <si>
    <t>TL AWD</t>
  </si>
  <si>
    <t>TSX</t>
  </si>
  <si>
    <t>ASTON MARTIN</t>
  </si>
  <si>
    <t>DB9</t>
  </si>
  <si>
    <t>MINICOMPACT</t>
  </si>
  <si>
    <t>A6</t>
  </si>
  <si>
    <t>RAPIDE</t>
  </si>
  <si>
    <t>SUBCOMPACT</t>
  </si>
  <si>
    <t>V8 VANTAGE</t>
  </si>
  <si>
    <t>TWO-SEATER</t>
  </si>
  <si>
    <t>AM7</t>
  </si>
  <si>
    <t>V8 VANTAGE S</t>
  </si>
  <si>
    <t>VANQUISH</t>
  </si>
  <si>
    <t>AUDI</t>
  </si>
  <si>
    <t>A4</t>
  </si>
  <si>
    <t>AV8</t>
  </si>
  <si>
    <t>A4 QUATTRO</t>
  </si>
  <si>
    <t>AS8</t>
  </si>
  <si>
    <t>A5 CABRIOLET QUATTRO</t>
  </si>
  <si>
    <t>A5 QUATTRO</t>
  </si>
  <si>
    <t>A6 QUATTRO</t>
  </si>
  <si>
    <t>A6 QUATTRO TDI CLEAN DIESEL</t>
  </si>
  <si>
    <t>D</t>
  </si>
  <si>
    <t>A7 QUATTRO</t>
  </si>
  <si>
    <t>A7 QUATTRO TDI CLEAN DIESEL</t>
  </si>
  <si>
    <t>A8</t>
  </si>
  <si>
    <t>A8 TDI CLEAN DIESEL</t>
  </si>
  <si>
    <t>A8L</t>
  </si>
  <si>
    <t>FULL-SIZE</t>
  </si>
  <si>
    <t>A8L TDI CLEAN DIESEL</t>
  </si>
  <si>
    <t>ALLROAD QUATTRO</t>
  </si>
  <si>
    <t>STATION WAGON - SMALL</t>
  </si>
  <si>
    <t>Q5</t>
  </si>
  <si>
    <t>Q5 HYBRID</t>
  </si>
  <si>
    <t>Q5 TDI CLEAN DIESEL</t>
  </si>
  <si>
    <t>Q7</t>
  </si>
  <si>
    <t>SUV - STANDARD</t>
  </si>
  <si>
    <t>Q7 TDI CLEAN DIESEL</t>
  </si>
  <si>
    <t>R8</t>
  </si>
  <si>
    <t>A7</t>
  </si>
  <si>
    <t>R8 SPYDER</t>
  </si>
  <si>
    <t>RS5</t>
  </si>
  <si>
    <t>RS5 CABRIOLET</t>
  </si>
  <si>
    <t>RS7</t>
  </si>
  <si>
    <t>S4</t>
  </si>
  <si>
    <t>S5</t>
  </si>
  <si>
    <t>S5 CABRIOLET</t>
  </si>
  <si>
    <t>S6</t>
  </si>
  <si>
    <t>S7</t>
  </si>
  <si>
    <t>S8</t>
  </si>
  <si>
    <t>SQ5</t>
  </si>
  <si>
    <t>TT COUPE QUATTRO</t>
  </si>
  <si>
    <t>TT ROADSTER QUATTRO</t>
  </si>
  <si>
    <t>TTS COUPE QUATTRO</t>
  </si>
  <si>
    <t>TTS ROADSTER QUATTRO</t>
  </si>
  <si>
    <t>BENTLEY</t>
  </si>
  <si>
    <t>CONTINENTAL GT</t>
  </si>
  <si>
    <t>CONTINENTAL GT CONVERTIBLE</t>
  </si>
  <si>
    <t>CONTINENTAL GT SPEED CONVERTIBLE</t>
  </si>
  <si>
    <t>CONTINENTAL GTC</t>
  </si>
  <si>
    <t>FLYING SPUR</t>
  </si>
  <si>
    <t>MULSANNE</t>
  </si>
  <si>
    <t>BMW</t>
  </si>
  <si>
    <t>320i</t>
  </si>
  <si>
    <t>320i xDRIVE</t>
  </si>
  <si>
    <t>328d xDRIVE</t>
  </si>
  <si>
    <t>328d xDRIVE TOURING</t>
  </si>
  <si>
    <t>328i</t>
  </si>
  <si>
    <t>328i xDRIVE</t>
  </si>
  <si>
    <t>328i xDRIVE GRAN TURISMO</t>
  </si>
  <si>
    <t>328i xDRIVE TOURING</t>
  </si>
  <si>
    <t>335i</t>
  </si>
  <si>
    <t>335i xDRIVE</t>
  </si>
  <si>
    <t>335i xDRIVE GRAN TURISMO</t>
  </si>
  <si>
    <t>428i COUPE</t>
  </si>
  <si>
    <t>428i xDRIVE COUPE</t>
  </si>
  <si>
    <t>435i COUPE</t>
  </si>
  <si>
    <t>435i xDRIVE COUPE</t>
  </si>
  <si>
    <t>528i</t>
  </si>
  <si>
    <t>528i xDRIVE</t>
  </si>
  <si>
    <t>535d xDRIVE</t>
  </si>
  <si>
    <t>535i xDRIVE</t>
  </si>
  <si>
    <t>535i xDRIVE GRAN TURISMO</t>
  </si>
  <si>
    <t>550i xDRIVE</t>
  </si>
  <si>
    <t>550i xDRIVE GRAN TURISMO</t>
  </si>
  <si>
    <t>640i xDRIVE GRAN COUPE</t>
  </si>
  <si>
    <t>650i xDRIVE CABRIOLET</t>
  </si>
  <si>
    <t>650i xDRIVE COUPE</t>
  </si>
  <si>
    <t>650i xDRIVE GRAN COUPE</t>
  </si>
  <si>
    <t>740Li xDRIVE</t>
  </si>
  <si>
    <t>750i xDRIVE</t>
  </si>
  <si>
    <t>750Li xDRIVE</t>
  </si>
  <si>
    <t>760Li</t>
  </si>
  <si>
    <t>ACTIVEHYBRID 3</t>
  </si>
  <si>
    <t>ACTIVEHYBRID 5</t>
  </si>
  <si>
    <t>ACTIVEHYBRID 7L</t>
  </si>
  <si>
    <t>ALPINA B7 xDRIVE LWB</t>
  </si>
  <si>
    <t>ALPINA B7 xDRIVE SWB</t>
  </si>
  <si>
    <t>M5</t>
  </si>
  <si>
    <t>M6 CABRIOLET</t>
  </si>
  <si>
    <t>M6 GRAN COUPE</t>
  </si>
  <si>
    <t>X1 xDRIVE28i</t>
  </si>
  <si>
    <t>X1 xDRIVE35i</t>
  </si>
  <si>
    <t>X3 xDRIVE28i</t>
  </si>
  <si>
    <t>X3 xDRIVE35i</t>
  </si>
  <si>
    <t>X5 xDRIVE35i</t>
  </si>
  <si>
    <t>X5 xDRIVE50i</t>
  </si>
  <si>
    <t>X6 M</t>
  </si>
  <si>
    <t>X6 xDRIVE35i</t>
  </si>
  <si>
    <t>X6 xDRIVE50i</t>
  </si>
  <si>
    <t>Z4 sDRIVE28i</t>
  </si>
  <si>
    <t>Z4 sDRIVE35i</t>
  </si>
  <si>
    <t>Z4 sDRIVE35is</t>
  </si>
  <si>
    <t>BUICK</t>
  </si>
  <si>
    <t>ENCLAVE</t>
  </si>
  <si>
    <t>X</t>
  </si>
  <si>
    <t>ENCLAVE AWD</t>
  </si>
  <si>
    <t>ENCORE</t>
  </si>
  <si>
    <t>ENCORE AWD</t>
  </si>
  <si>
    <t>LACROSSE</t>
  </si>
  <si>
    <t>E</t>
  </si>
  <si>
    <t>LACROSSE AWD</t>
  </si>
  <si>
    <t>LACROSSE eASSIST</t>
  </si>
  <si>
    <t>REGAL</t>
  </si>
  <si>
    <t>REGAL AWD</t>
  </si>
  <si>
    <t>REGAL eASSIST</t>
  </si>
  <si>
    <t>VERANO</t>
  </si>
  <si>
    <t>CADILLAC</t>
  </si>
  <si>
    <t>ATS</t>
  </si>
  <si>
    <t>ATS AWD</t>
  </si>
  <si>
    <t>CTS COUPE</t>
  </si>
  <si>
    <t>CTS COUPE AWD</t>
  </si>
  <si>
    <t>CTS SEDAN</t>
  </si>
  <si>
    <t>CTS SEDAN AWD</t>
  </si>
  <si>
    <t>CTS SEDAN Vsport</t>
  </si>
  <si>
    <t>CTS SPORT WAGON</t>
  </si>
  <si>
    <t>CTS SPORT WAGON AWD</t>
  </si>
  <si>
    <t>CTS-V COUPE</t>
  </si>
  <si>
    <t>CTS-V SEDAN</t>
  </si>
  <si>
    <t>CTS-V SPORT WAGON</t>
  </si>
  <si>
    <t>ESCALADE AWD</t>
  </si>
  <si>
    <t>ESCALADE ESV AWD</t>
  </si>
  <si>
    <t>SRX</t>
  </si>
  <si>
    <t>SRX AWD</t>
  </si>
  <si>
    <t>XTS</t>
  </si>
  <si>
    <t>XTS AWD</t>
  </si>
  <si>
    <t>XTS Vsport AWD</t>
  </si>
  <si>
    <t>CHEVROLET</t>
  </si>
  <si>
    <t>CAMARO</t>
  </si>
  <si>
    <t>CAMARO 2LS</t>
  </si>
  <si>
    <t>CAMARO SS</t>
  </si>
  <si>
    <t>CAMARO ZL1</t>
  </si>
  <si>
    <t>CORVETTE</t>
  </si>
  <si>
    <t>M7</t>
  </si>
  <si>
    <t>CRUZE</t>
  </si>
  <si>
    <t>CRUZE DIESEL</t>
  </si>
  <si>
    <t>CRUZE ECO</t>
  </si>
  <si>
    <t>EQUINOX</t>
  </si>
  <si>
    <t>EQUINOX AWD</t>
  </si>
  <si>
    <t>EXPRESS 1500 CARGO</t>
  </si>
  <si>
    <t>VAN - CARGO</t>
  </si>
  <si>
    <t>EXPRESS 1500 CARGO AWD</t>
  </si>
  <si>
    <t>EXPRESS 1500 CARGO CONV</t>
  </si>
  <si>
    <t>EXPRESS 1500 CARGO CONV AWD</t>
  </si>
  <si>
    <t>EXPRESS 1500 PASSENGER</t>
  </si>
  <si>
    <t>VAN - PASSENGER</t>
  </si>
  <si>
    <t>EXPRESS 1500 PASSENGER AWD</t>
  </si>
  <si>
    <t>EXPRESS 2500 PASSENGER</t>
  </si>
  <si>
    <t>EXPRESS 3500 PASSENGER</t>
  </si>
  <si>
    <t>IMPALA</t>
  </si>
  <si>
    <t>IMPALA ECO</t>
  </si>
  <si>
    <t>MALIBU</t>
  </si>
  <si>
    <t>ORLANDO</t>
  </si>
  <si>
    <t>SILVERADO</t>
  </si>
  <si>
    <t>PICKUP TRUCK - STANDARD</t>
  </si>
  <si>
    <t>SILVERADO 4WD</t>
  </si>
  <si>
    <t>SONIC</t>
  </si>
  <si>
    <t>SONIC 5</t>
  </si>
  <si>
    <t>SONIC 5 RS</t>
  </si>
  <si>
    <t>SONIC RS</t>
  </si>
  <si>
    <t>SPARK</t>
  </si>
  <si>
    <t>AV</t>
  </si>
  <si>
    <t>SUBURBAN</t>
  </si>
  <si>
    <t>SUBURBAN 4WD</t>
  </si>
  <si>
    <t>TAHOE</t>
  </si>
  <si>
    <t>TAHOE 4WD</t>
  </si>
  <si>
    <t>TRAVERSE</t>
  </si>
  <si>
    <t>TRAVERSE AWD</t>
  </si>
  <si>
    <t>TRAX</t>
  </si>
  <si>
    <t>TRAX AWD</t>
  </si>
  <si>
    <t>CHRYSLER</t>
  </si>
  <si>
    <t>200 CONVERTIBLE</t>
  </si>
  <si>
    <t>200 CONVERTIBLE FFV</t>
  </si>
  <si>
    <t>200 SEDAN</t>
  </si>
  <si>
    <t>200 SEDAN FFV</t>
  </si>
  <si>
    <t>300 (MDS)</t>
  </si>
  <si>
    <t>A5</t>
  </si>
  <si>
    <t>300 AWD</t>
  </si>
  <si>
    <t>300 AWD (MDS)</t>
  </si>
  <si>
    <t>300 AWD FFV</t>
  </si>
  <si>
    <t>300 FFV</t>
  </si>
  <si>
    <t>300 SRT (MDS)</t>
  </si>
  <si>
    <t>TOWN &amp; COUNTRY FFV</t>
  </si>
  <si>
    <t>MINIVAN</t>
  </si>
  <si>
    <t>DODGE</t>
  </si>
  <si>
    <t>AVENGER</t>
  </si>
  <si>
    <t>AVENGER FFV</t>
  </si>
  <si>
    <t>CHALLENGER</t>
  </si>
  <si>
    <t>CHALLENGER (MDS)</t>
  </si>
  <si>
    <t>CHALLENGER SRT</t>
  </si>
  <si>
    <t>CHALLENGER SRT (MDS)</t>
  </si>
  <si>
    <t>CHARGER</t>
  </si>
  <si>
    <t>CHARGER (MDS)</t>
  </si>
  <si>
    <t>CHARGER AWD</t>
  </si>
  <si>
    <t>CHARGER AWD (MDS)</t>
  </si>
  <si>
    <t>CHARGER AWD FFV</t>
  </si>
  <si>
    <t>CHARGER FFV</t>
  </si>
  <si>
    <t>CHARGER SRT (MDS)</t>
  </si>
  <si>
    <t>DART</t>
  </si>
  <si>
    <t>DART FFV</t>
  </si>
  <si>
    <t>DART GT</t>
  </si>
  <si>
    <t>DART TURBO AERO</t>
  </si>
  <si>
    <t>AM6</t>
  </si>
  <si>
    <t>DURANGO AWD (MDS)</t>
  </si>
  <si>
    <t>DURANGO AWD FFV</t>
  </si>
  <si>
    <t>GRAND CARAVAN FFV</t>
  </si>
  <si>
    <t>JOURNEY</t>
  </si>
  <si>
    <t>JOURNEY AWD</t>
  </si>
  <si>
    <t>JOURNEY FFV</t>
  </si>
  <si>
    <t>FIAT</t>
  </si>
  <si>
    <t>500 ABARTH CABRIO</t>
  </si>
  <si>
    <t>500 ABARTH HATCHBACK</t>
  </si>
  <si>
    <t>500 CABRIO</t>
  </si>
  <si>
    <t>500 CABRIO TURBO</t>
  </si>
  <si>
    <t>500 HATCHBACK</t>
  </si>
  <si>
    <t>500 HATCHBACK TURBO</t>
  </si>
  <si>
    <t>500L TURBO</t>
  </si>
  <si>
    <t>FORD</t>
  </si>
  <si>
    <t>C-MAX HYBRID</t>
  </si>
  <si>
    <t>E150 VAN FFV</t>
  </si>
  <si>
    <t>E150 WAGON FFV</t>
  </si>
  <si>
    <t>E350 WAGON</t>
  </si>
  <si>
    <t>E350 WAGON FFV</t>
  </si>
  <si>
    <t>EDGE</t>
  </si>
  <si>
    <t>EDGE AWD</t>
  </si>
  <si>
    <t>ESCAPE</t>
  </si>
  <si>
    <t>ESCAPE AWD</t>
  </si>
  <si>
    <t>EXPEDITION 4X4 FFV</t>
  </si>
  <si>
    <t>EXPLORER</t>
  </si>
  <si>
    <t>EXPLORER AWD</t>
  </si>
  <si>
    <t>EXPLORER FFV</t>
  </si>
  <si>
    <t>EXPLORER FFV AWD</t>
  </si>
  <si>
    <t>F150</t>
  </si>
  <si>
    <t>F150 4X4</t>
  </si>
  <si>
    <t>F150 FFV</t>
  </si>
  <si>
    <t>F150 FFV 4X4</t>
  </si>
  <si>
    <t>F150 RAPTOR 4X4</t>
  </si>
  <si>
    <t>FIESTA</t>
  </si>
  <si>
    <t>FIESTA SFE</t>
  </si>
  <si>
    <t>FIESTA ST</t>
  </si>
  <si>
    <t>FLEX</t>
  </si>
  <si>
    <t>FLEX AWD</t>
  </si>
  <si>
    <t>FLEX AWD (EcoBoost)</t>
  </si>
  <si>
    <t>FOCUS</t>
  </si>
  <si>
    <t>FOCUS FFV</t>
  </si>
  <si>
    <t>FOCUS SFE FFV</t>
  </si>
  <si>
    <t>FUSION</t>
  </si>
  <si>
    <t>FUSION (Start/Stop)</t>
  </si>
  <si>
    <t>FUSION AWD</t>
  </si>
  <si>
    <t>FUSION HYBRID</t>
  </si>
  <si>
    <t>MUSTANG</t>
  </si>
  <si>
    <t>MUSTANG CONVERTIBLE</t>
  </si>
  <si>
    <t>TAURUS</t>
  </si>
  <si>
    <t>TAURUS AWD</t>
  </si>
  <si>
    <t>TAURUS FFV</t>
  </si>
  <si>
    <t>TAURUS FFV AWD</t>
  </si>
  <si>
    <t>TRANSIT CONNECT</t>
  </si>
  <si>
    <t>SPECIAL PURPOSE VEHICLE</t>
  </si>
  <si>
    <t>TRANSIT CONNECT TAXI</t>
  </si>
  <si>
    <t>TRANSIT CONNECT WAGON</t>
  </si>
  <si>
    <t>GMC</t>
  </si>
  <si>
    <t>ACADIA</t>
  </si>
  <si>
    <t>ACADIA AWD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</si>
  <si>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</si>
  <si>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</si>
  <si>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</si>
  <si>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</si>
  <si>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</si>
  <si>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</si>
  <si>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SAVANA 2500 PASSENGER</t>
  </si>
  <si>
    <t>SAVANA 3500 PASSENGER</t>
  </si>
  <si>
    <t>SIERRA</t>
  </si>
  <si>
    <t>SIERRA 4WD</t>
  </si>
  <si>
    <t>TERRAIN</t>
  </si>
  <si>
    <t>TERRAIN AWD</t>
  </si>
  <si>
    <t>YUKON</t>
  </si>
  <si>
    <t>YUKON 4WD</t>
  </si>
  <si>
    <t>YUKON DENALI AWD</t>
  </si>
  <si>
    <t>YUKON DENALI XL AWD</t>
  </si>
  <si>
    <t>YUKON XL</t>
  </si>
  <si>
    <t>YUKON XL 4WD</t>
  </si>
  <si>
    <t>HONDA</t>
  </si>
  <si>
    <t>ACCORD</t>
  </si>
  <si>
    <t>ACCORD HYBRID</t>
  </si>
  <si>
    <t>CIVIC</t>
  </si>
  <si>
    <t>CROSSTOUR AWD</t>
  </si>
  <si>
    <t>CR-V</t>
  </si>
  <si>
    <t>CR-V AWD</t>
  </si>
  <si>
    <t>CR-Z</t>
  </si>
  <si>
    <t>FIT</t>
  </si>
  <si>
    <t>ODYSSEY</t>
  </si>
  <si>
    <t>PILOT</t>
  </si>
  <si>
    <t>PILOT AWD</t>
  </si>
  <si>
    <t>RIDGELINE AWD</t>
  </si>
  <si>
    <t>HYUNDAI</t>
  </si>
  <si>
    <t>ACCENT</t>
  </si>
  <si>
    <t>ELANTRA GT</t>
  </si>
  <si>
    <t>EQUUS</t>
  </si>
  <si>
    <t>GENESIS</t>
  </si>
  <si>
    <t>SANTA FE</t>
  </si>
  <si>
    <t>SANTA FE 4WD</t>
  </si>
  <si>
    <t>SANTA FE SPORT</t>
  </si>
  <si>
    <t>SANTA FE SPORT 4WD</t>
  </si>
  <si>
    <t>SONATA</t>
  </si>
  <si>
    <t>SONATA HYBRID</t>
  </si>
  <si>
    <t>SONATA HYBRID LIMITED</t>
  </si>
  <si>
    <t>TUCSON</t>
  </si>
  <si>
    <t>TUCSON 4WD</t>
  </si>
  <si>
    <t>VELOSTER</t>
  </si>
  <si>
    <t>VELOSTER TURBO</t>
  </si>
  <si>
    <t>INFINITI</t>
  </si>
  <si>
    <t>Q50</t>
  </si>
  <si>
    <t>AS7</t>
  </si>
  <si>
    <t>Q50 AWD</t>
  </si>
  <si>
    <t>Q50 HYBRID</t>
  </si>
  <si>
    <t>Q50 HYBRID AWD</t>
  </si>
  <si>
    <t>Q60 AWD COUPE</t>
  </si>
  <si>
    <t>Q60 CONVERTIBLE</t>
  </si>
  <si>
    <t>Q60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</si>
  <si>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</si>
  <si>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</si>
  <si>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</si>
  <si>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</si>
  <si>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</si>
  <si>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</si>
  <si>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</si>
  <si>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</si>
  <si>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</si>
  <si>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JAGUAR</t>
  </si>
  <si>
    <t>F-TYPE CONVERTIBLE</t>
  </si>
  <si>
    <t>F-TYPE S CONVERTIBLE</t>
  </si>
  <si>
    <t>F-TYPE V8 S CONVERTIBLE</t>
  </si>
  <si>
    <t>XF</t>
  </si>
  <si>
    <t>XF 3.0L AWD</t>
  </si>
  <si>
    <t>XFR</t>
  </si>
  <si>
    <t>XFR-S</t>
  </si>
  <si>
    <t>XJ AWD</t>
  </si>
  <si>
    <t>XJ SUPERCHARGED</t>
  </si>
  <si>
    <t>XJL AWD PORTFOLIO</t>
  </si>
  <si>
    <t>XJL SUPERCHARGED</t>
  </si>
  <si>
    <t>XJR</t>
  </si>
  <si>
    <t>XJR LWB</t>
  </si>
  <si>
    <t>XK CONVERTIBLE</t>
  </si>
  <si>
    <t>XK COUPE</t>
  </si>
  <si>
    <t>XKR CONVERTIBLE</t>
  </si>
  <si>
    <t>XKR COUPE</t>
  </si>
  <si>
    <t>XKR-S CONVERTIBLE</t>
  </si>
  <si>
    <t>XKR-S COUPE</t>
  </si>
  <si>
    <t>JEEP</t>
  </si>
  <si>
    <t>CHEROKEE</t>
  </si>
  <si>
    <t>A9</t>
  </si>
  <si>
    <t>CHEROKEE 4X4</t>
  </si>
  <si>
    <t>CHEROKEE 4X4 Active Drive II</t>
  </si>
  <si>
    <t>CHEROKEE TRAILHAWK 4X4</t>
  </si>
  <si>
    <t>COMPASS</t>
  </si>
  <si>
    <t>COMPASS 4X4</t>
  </si>
  <si>
    <t>COMPASS 4X4 TRAIL RATED</t>
  </si>
  <si>
    <t>GRAND CHEROKEE 4X4 (MDS)</t>
  </si>
  <si>
    <t>GRAND CHEROKEE 4X4 DIESEL</t>
  </si>
  <si>
    <t>GRAND CHEROKEE 4X4 FFV</t>
  </si>
  <si>
    <t>GRAND CHEROKEE 4X4 SRT (MDS)</t>
  </si>
  <si>
    <t>PATRIOT</t>
  </si>
  <si>
    <t>PATRIOT 4X4</t>
  </si>
  <si>
    <t>PATRIOT 4X4 TRAIL RATED</t>
  </si>
  <si>
    <t>WRANGLER 4X4 (2-DOOR)</t>
  </si>
  <si>
    <t>WRANGLER UNLIMITED 4X4 (4-DOOR)</t>
  </si>
  <si>
    <t>KIA</t>
  </si>
  <si>
    <t>CADENZA</t>
  </si>
  <si>
    <t>FORTE</t>
  </si>
  <si>
    <t>FORTE 5</t>
  </si>
  <si>
    <t>FORTE KOUP</t>
  </si>
  <si>
    <t>OPTIMA</t>
  </si>
  <si>
    <t>RIO</t>
  </si>
  <si>
    <t>RIO ECO</t>
  </si>
  <si>
    <t>RONDO</t>
  </si>
  <si>
    <t>STATION WAGON - MID-SIZE</t>
  </si>
  <si>
    <t>SEDONA</t>
  </si>
  <si>
    <t>SORENTO</t>
  </si>
  <si>
    <t>SORENTO 4WD</t>
  </si>
  <si>
    <t>SOUL</t>
  </si>
  <si>
    <t>SOUL ECO Dynamics</t>
  </si>
  <si>
    <t>SPORTAGE</t>
  </si>
  <si>
    <t>SPORTAGE AWD</t>
  </si>
  <si>
    <t>LAMBORGHINI</t>
  </si>
  <si>
    <t>AVENTADOR COUPE</t>
  </si>
  <si>
    <t>GALLARDO COUPE</t>
  </si>
  <si>
    <t>LAND ROVER</t>
  </si>
  <si>
    <t>LR2</t>
  </si>
  <si>
    <t>LR4</t>
  </si>
  <si>
    <t>RANGE ROVER EVOQUE</t>
  </si>
  <si>
    <t>AS9</t>
  </si>
  <si>
    <t>RANGE ROVER EVOQUE COUPE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</si>
  <si>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</si>
  <si>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</si>
  <si>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</si>
  <si>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</si>
  <si>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</si>
  <si>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</si>
  <si>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RANGE ROVER V6 3.0 SC</t>
  </si>
  <si>
    <t>RANGE ROVER V6 3.0 SC FFV</t>
  </si>
  <si>
    <t>RANGE ROVER V8 5.0 SC</t>
  </si>
  <si>
    <t>RANGE ROVER V8 5.0 SC FFV</t>
  </si>
  <si>
    <t>LEXUS</t>
  </si>
  <si>
    <t>CT 200h</t>
  </si>
  <si>
    <t>ES 300h</t>
  </si>
  <si>
    <t>AV6</t>
  </si>
  <si>
    <t>ES 350</t>
  </si>
  <si>
    <t>GS 350</t>
  </si>
  <si>
    <t>GS 350 AWD</t>
  </si>
  <si>
    <t>GS 450h</t>
  </si>
  <si>
    <t>GX 460</t>
  </si>
  <si>
    <t>IS 250</t>
  </si>
  <si>
    <t>IS 250 AWD</t>
  </si>
  <si>
    <t>IS 250 C</t>
  </si>
  <si>
    <t>IS 350</t>
  </si>
  <si>
    <t>IS 350 AWD</t>
  </si>
  <si>
    <t>IS 350 C</t>
  </si>
  <si>
    <t>IS F</t>
  </si>
  <si>
    <t>LS 460</t>
  </si>
  <si>
    <t>LS 460 AWD</t>
  </si>
  <si>
    <t>LS 460 L AWD</t>
  </si>
  <si>
    <t>LS 600h L</t>
  </si>
  <si>
    <t>LX 570</t>
  </si>
  <si>
    <t>RX 350 AWD</t>
  </si>
  <si>
    <t>RX 450h AWD</t>
  </si>
  <si>
    <t>LINCOLN</t>
  </si>
  <si>
    <t>MKS AWD</t>
  </si>
  <si>
    <t>MKT AWD</t>
  </si>
  <si>
    <t>MKT LIVERY</t>
  </si>
  <si>
    <t>MKT LIVERY AWD</t>
  </si>
  <si>
    <t>MKX AWD</t>
  </si>
  <si>
    <t>MKZ</t>
  </si>
  <si>
    <t>MKZ AWD</t>
  </si>
  <si>
    <t>MKZ HYBRID</t>
  </si>
  <si>
    <t>NAVIGATOR 4X4 FFV</t>
  </si>
  <si>
    <t>MASERATI</t>
  </si>
  <si>
    <t>GHIBLI</t>
  </si>
  <si>
    <t>GHIBLI AWD</t>
  </si>
  <si>
    <t>GRANTURISMO</t>
  </si>
  <si>
    <t>GRANTURISMO CONVERTIBLE</t>
  </si>
  <si>
    <t>QUATTROPORTE GTS</t>
  </si>
  <si>
    <t>QUATTROPORTE SQ4</t>
  </si>
  <si>
    <t>MAZDA</t>
  </si>
  <si>
    <t>CX-5</t>
  </si>
  <si>
    <t>CX-5 4WD</t>
  </si>
  <si>
    <t>CX-9</t>
  </si>
  <si>
    <t>CX-9 4WD</t>
  </si>
  <si>
    <t>MAZDA2</t>
  </si>
  <si>
    <t>MAZDA3 4-DOOR</t>
  </si>
  <si>
    <t>MAZDA3 4-DOOR (i-ELOOP)</t>
  </si>
  <si>
    <t>MAZDA3 4-DOOR (SIL)</t>
  </si>
  <si>
    <t>MAZDA3 5-DOOR</t>
  </si>
  <si>
    <t>MAZDA3 5-DOOR (i-ELOOP)</t>
  </si>
  <si>
    <t>MAZDA3 5-DOOR (SIL)</t>
  </si>
  <si>
    <t>MAZDA5</t>
  </si>
  <si>
    <t>MAZDA6</t>
  </si>
  <si>
    <t>MAZDA6 (i-ELOOP)</t>
  </si>
  <si>
    <t>MX-5</t>
  </si>
  <si>
    <t>MERCEDES-BENZ</t>
  </si>
  <si>
    <t>B 250</t>
  </si>
  <si>
    <t>C 250</t>
  </si>
  <si>
    <t>C 250 COUPE</t>
  </si>
  <si>
    <t>C 300 4MATIC FFV</t>
  </si>
  <si>
    <t>C 350</t>
  </si>
  <si>
    <t>C 350 4MATIC</t>
  </si>
  <si>
    <t>C 350 4MATIC COUPE</t>
  </si>
  <si>
    <t>C 350 COUPE</t>
  </si>
  <si>
    <t>C 63 AMG</t>
  </si>
  <si>
    <t>C 63 AMG COUPE</t>
  </si>
  <si>
    <t>CL 550 4MATIC</t>
  </si>
  <si>
    <t>CL 63 AMG</t>
  </si>
  <si>
    <t>CLA 250</t>
  </si>
  <si>
    <t>CLA 45 AMG 4MATIC</t>
  </si>
  <si>
    <t>CLS 550 4MATIC</t>
  </si>
  <si>
    <t>CLS 63 AMG 4MATIC</t>
  </si>
  <si>
    <t>CLS 63 AMG S 4MATIC</t>
  </si>
  <si>
    <t>E 250 BLUETEC 4MATIC</t>
  </si>
  <si>
    <t>E 300 4MATIC</t>
  </si>
  <si>
    <t>E 350 4MATIC</t>
  </si>
  <si>
    <t>E 350 4MATIC COUPE</t>
  </si>
  <si>
    <t>E 350 4MATIC WAGON</t>
  </si>
  <si>
    <t>E 350 CABRIOLET</t>
  </si>
  <si>
    <t>E 350 COUPE</t>
  </si>
  <si>
    <t>E 400 HYBRID</t>
  </si>
  <si>
    <t>E 550 4MATIC</t>
  </si>
  <si>
    <t>E 550 CABRIOLET</t>
  </si>
  <si>
    <t>E 550 COUPE</t>
  </si>
  <si>
    <t>E 63 AMG 4MATIC</t>
  </si>
  <si>
    <t>E 63 AMG 4MATIC WAGON</t>
  </si>
  <si>
    <t>E 63 AMG S 4MATIC</t>
  </si>
  <si>
    <t>E 63 AMG S 4MATIC WAGON</t>
  </si>
  <si>
    <t>G 550</t>
  </si>
  <si>
    <t>G 63 AMG</t>
  </si>
  <si>
    <t>GL 350 BLUETEC 4MATIC</t>
  </si>
  <si>
    <t>GL 450 4MATIC</t>
  </si>
  <si>
    <t>GL 550 4MATIC</t>
  </si>
  <si>
    <t>GL 63 AMG</t>
  </si>
  <si>
    <t>GLK 250 BLUETEC 4MATIC</t>
  </si>
  <si>
    <t>GLK 350 4MATIC</t>
  </si>
  <si>
    <t>ML 350 4MATIC FFV</t>
  </si>
  <si>
    <t>ML 350 BLUETEC 4MATIC</t>
  </si>
  <si>
    <t>ML 550 4MATIC</t>
  </si>
  <si>
    <t>ML 63 AMG 4MATIC</t>
  </si>
  <si>
    <t>S 550 4MATIC LWB</t>
  </si>
  <si>
    <t>S 550 4MATIC SWB</t>
  </si>
  <si>
    <t>S 63 AMG 4MATIC</t>
  </si>
  <si>
    <t>SL 550</t>
  </si>
  <si>
    <t>SL 63 AMG</t>
  </si>
  <si>
    <t>SL 65 AMG</t>
  </si>
  <si>
    <t>SLK 250</t>
  </si>
  <si>
    <t>SLK 350</t>
  </si>
  <si>
    <t>SLK 55 AMG</t>
  </si>
  <si>
    <t>SLS AMG BLACK SERIES COUPE</t>
  </si>
  <si>
    <t>SLS AMG GT COUPE</t>
  </si>
  <si>
    <t>SLS AMG ROADSTER</t>
  </si>
  <si>
    <t>MINI</t>
  </si>
  <si>
    <t>COOPER CLUBMAN</t>
  </si>
  <si>
    <t>COOPER CONVERTIBLE</t>
  </si>
  <si>
    <t>COOPER COUNTRYMAN</t>
  </si>
  <si>
    <t>COOPER COUPE</t>
  </si>
  <si>
    <t>COOPER PACEMAN</t>
  </si>
  <si>
    <t>COOPER ROADSTER</t>
  </si>
  <si>
    <t>COOPER S CLUBMAN</t>
  </si>
  <si>
    <t>COOPER S CONVERTIBLE</t>
  </si>
  <si>
    <t>COOPER S COUNTRYMAN ALL4</t>
  </si>
  <si>
    <t>COOPER S COUPE</t>
  </si>
  <si>
    <t>COOPER S PACEMAN ALL4</t>
  </si>
  <si>
    <t>COOPER S ROADSTER</t>
  </si>
  <si>
    <t>JOHN COOPER WORKS CLUBMAN</t>
  </si>
  <si>
    <t>JOHN COOPER WORKS CONVERTIBLE</t>
  </si>
  <si>
    <t>JOHN COOPER WORKS COUNTRYMAN ALL4</t>
  </si>
  <si>
    <t>JOHN COOPER WORKS COUPE</t>
  </si>
  <si>
    <t>JOHN COOPER WORKS PACEMAN ALL4</t>
  </si>
  <si>
    <t>JOHN COOPER WORKS ROADSTER</t>
  </si>
  <si>
    <t>MITSUBISHI</t>
  </si>
  <si>
    <t>LANCER</t>
  </si>
  <si>
    <t>LANCER AWD</t>
  </si>
  <si>
    <t>LANCER EVOLUTION</t>
  </si>
  <si>
    <t>LANCER RALLIART</t>
  </si>
  <si>
    <t>LANCER SPORTBACK</t>
  </si>
  <si>
    <t>MIRAGE</t>
  </si>
  <si>
    <t>OUTLANDER</t>
  </si>
  <si>
    <t>OUTLANDER 4WD</t>
  </si>
  <si>
    <t>RVR</t>
  </si>
  <si>
    <t>RVR 4WD</t>
  </si>
  <si>
    <t>NISSAN</t>
  </si>
  <si>
    <t>370Z</t>
  </si>
  <si>
    <t>370Z ROADSTER</t>
  </si>
  <si>
    <t>ALTIMA</t>
  </si>
  <si>
    <t>ARMADA 4WD</t>
  </si>
  <si>
    <t>FRONTIER</t>
  </si>
  <si>
    <t>PICKUP TRUCK - SMALL</t>
  </si>
  <si>
    <t>FRONTIER 4WD</t>
  </si>
  <si>
    <t>GT-R</t>
  </si>
  <si>
    <t>JUKE</t>
  </si>
  <si>
    <t>JUKE AWD</t>
  </si>
  <si>
    <t>MAXIMA</t>
  </si>
  <si>
    <t>MURANO AWD</t>
  </si>
  <si>
    <t>NV200 CARGO VAN</t>
  </si>
  <si>
    <t>PATHFINDER</t>
  </si>
  <si>
    <t>PATHFINDER 4WD</t>
  </si>
  <si>
    <t>PATHFINDER HYBRID 4WD</t>
  </si>
  <si>
    <t>QUEST</t>
  </si>
  <si>
    <t>ROGUE</t>
  </si>
  <si>
    <t>ROGUE AWD</t>
  </si>
  <si>
    <t>SENTRA</t>
  </si>
  <si>
    <t>TITAN</t>
  </si>
  <si>
    <t>TITAN 4WD</t>
  </si>
  <si>
    <t>VERSA</t>
  </si>
  <si>
    <t>XTERRA 4WD</t>
  </si>
  <si>
    <t>PORSCHE</t>
  </si>
  <si>
    <t>911 CARRERA</t>
  </si>
  <si>
    <t>911 CARRERA 4</t>
  </si>
  <si>
    <t>911 CARRERA 4 CABRIOLET</t>
  </si>
  <si>
    <t>911 CARRERA 4S</t>
  </si>
  <si>
    <t>911 CARRERA 4S CABRIOLET</t>
  </si>
  <si>
    <t>911 CARRERA CABRIOLET</t>
  </si>
  <si>
    <t>911 CARRERA S</t>
  </si>
  <si>
    <t>911 CARRERA S CABRIOLET</t>
  </si>
  <si>
    <t>911 GT3</t>
  </si>
  <si>
    <t>911 TURBO</t>
  </si>
  <si>
    <t>911 TURBO CABRIOLET</t>
  </si>
  <si>
    <t>911 TURBO S</t>
  </si>
  <si>
    <t>911 TURBO S CABRIOLET</t>
  </si>
  <si>
    <t>BOXSTER</t>
  </si>
  <si>
    <t>BOXSTER S</t>
  </si>
  <si>
    <t>CAYENNE</t>
  </si>
  <si>
    <t>CAYENNE DIESEL</t>
  </si>
  <si>
    <t>CAYENNE GTS</t>
  </si>
  <si>
    <t>CAYENNE S</t>
  </si>
  <si>
    <t>CAYENNE S HYBRID</t>
  </si>
  <si>
    <t>CAYENNE TURBO</t>
  </si>
  <si>
    <t>CAYMAN</t>
  </si>
  <si>
    <t>CAYMAN S</t>
  </si>
  <si>
    <t>PANAMERA</t>
  </si>
  <si>
    <t>PANAMERA 4</t>
  </si>
  <si>
    <t>PANAMERA 4S</t>
  </si>
  <si>
    <t>PANAMERA 4S EXECUTIVE</t>
  </si>
  <si>
    <t>PANAMERA GTS</t>
  </si>
  <si>
    <t>PANAMERA S</t>
  </si>
  <si>
    <t>PANAMERA TURBO</t>
  </si>
  <si>
    <t>PANAMERA TURBO EXECUTIVE</t>
  </si>
  <si>
    <t>RAM</t>
  </si>
  <si>
    <t>1500 (MDS)</t>
  </si>
  <si>
    <t>1500 4X4 (MDS)</t>
  </si>
  <si>
    <t>1500 4X4 DIESEL</t>
  </si>
  <si>
    <t>1500 4X4 FFV</t>
  </si>
  <si>
    <t>1500 DIESEL</t>
  </si>
  <si>
    <t>1500 FFV</t>
  </si>
  <si>
    <t>1500 HFE</t>
  </si>
  <si>
    <t>CARGO VAN FFV</t>
  </si>
  <si>
    <t>ROLLS-ROYCE</t>
  </si>
  <si>
    <t>GHOST</t>
  </si>
  <si>
    <t>GHOST EWB</t>
  </si>
  <si>
    <t>PHANTOM</t>
  </si>
  <si>
    <t>PHANTOM COUPE</t>
  </si>
  <si>
    <t>PHANTOM DROPHEAD COUPE</t>
  </si>
  <si>
    <t>PHANTOM EWB</t>
  </si>
  <si>
    <t>WRAITH</t>
  </si>
  <si>
    <t>SCION</t>
  </si>
  <si>
    <t>FR-S</t>
  </si>
  <si>
    <t>iQ</t>
  </si>
  <si>
    <t>tC</t>
  </si>
  <si>
    <t>xB</t>
  </si>
  <si>
    <t>AS4</t>
  </si>
  <si>
    <t>xD</t>
  </si>
  <si>
    <t>SMART</t>
  </si>
  <si>
    <t>FORTWO CABRIOLET</t>
  </si>
  <si>
    <t>AM5</t>
  </si>
  <si>
    <t>FORTWO COUPE</t>
  </si>
  <si>
    <t>SRT</t>
  </si>
  <si>
    <t>VIPER COUPE</t>
  </si>
  <si>
    <t>VIPER GTS COUPE</t>
  </si>
  <si>
    <t>SUBARU</t>
  </si>
  <si>
    <t>BRZ</t>
  </si>
  <si>
    <t>FORESTER AWD</t>
  </si>
  <si>
    <t>IMPREZA AWD</t>
  </si>
  <si>
    <t>IMPREZA WAGON AWD</t>
  </si>
  <si>
    <t>LEGACY AWD</t>
  </si>
  <si>
    <t>OUTBACK AWD</t>
  </si>
  <si>
    <t>TRIBECA AWD</t>
  </si>
  <si>
    <t>XV CROSSTREK AWD</t>
  </si>
  <si>
    <t>XV CROSSTREK HYBRID AWD</t>
  </si>
  <si>
    <t>TOYOTA</t>
  </si>
  <si>
    <t>4RUNNER (Part-Time 4WD)</t>
  </si>
  <si>
    <t>4RUNNER 4WD</t>
  </si>
  <si>
    <t>AVALON</t>
  </si>
  <si>
    <t>CAMRY</t>
  </si>
  <si>
    <t>CAMRY HYBRID LE</t>
  </si>
  <si>
    <t>CAMRY HYBRID XLE/SE</t>
  </si>
  <si>
    <t>COROLLA</t>
  </si>
  <si>
    <t>COROLLA LE ECO (1-mode)</t>
  </si>
  <si>
    <t>COROLLA LE ECO (2-mode)</t>
  </si>
  <si>
    <t>COROLLA MATRIX</t>
  </si>
  <si>
    <t>FJ CRUISER 4WD</t>
  </si>
  <si>
    <t>HIGHLANDER</t>
  </si>
  <si>
    <t>HIGHLANDER AWD</t>
  </si>
  <si>
    <t>HIGHLANDER HYBRID AWD</t>
  </si>
  <si>
    <t>HIGHLANDER HYBRID AWD LE</t>
  </si>
  <si>
    <t>PRIUS</t>
  </si>
  <si>
    <t>PRIUS c</t>
  </si>
  <si>
    <t>PRIUS v</t>
  </si>
  <si>
    <t>RAV4</t>
  </si>
  <si>
    <t>RAV4 AWD</t>
  </si>
  <si>
    <t>RAV4 LIMITED AWD</t>
  </si>
  <si>
    <t>SEQUOIA 4WD</t>
  </si>
  <si>
    <t>SIENNA</t>
  </si>
  <si>
    <t>SIENNA AWD</t>
  </si>
  <si>
    <t>TACOMA</t>
  </si>
  <si>
    <t>TACOMA 4WD</t>
  </si>
  <si>
    <t>TUNDRA</t>
  </si>
  <si>
    <t>TUNDRA 4WD</t>
  </si>
  <si>
    <t>VENZA</t>
  </si>
  <si>
    <t>VENZA 4WD</t>
  </si>
  <si>
    <t>YARIS</t>
  </si>
  <si>
    <t>VOLKSWAGEN</t>
  </si>
  <si>
    <t>BEETLE</t>
  </si>
  <si>
    <t>BEETLE CONVERTIBLE</t>
  </si>
  <si>
    <t>BEETLE TDI CLEAN DIESEL</t>
  </si>
  <si>
    <t>CC</t>
  </si>
  <si>
    <t>CC 4MOTION</t>
  </si>
  <si>
    <t>EOS</t>
  </si>
  <si>
    <t>GOLF WAGON</t>
  </si>
  <si>
    <t>GOLF WAGON TDI CLEAN DIESEL</t>
  </si>
  <si>
    <t>JETTA</t>
  </si>
  <si>
    <t>JETTA GLI</t>
  </si>
  <si>
    <t>JETTA TDI CLEAN DIESEL</t>
  </si>
  <si>
    <t>JETTA TURBO HYBRID</t>
  </si>
  <si>
    <t>PASSAT</t>
  </si>
  <si>
    <t>PASSAT TDI CLEAN DIESEL</t>
  </si>
  <si>
    <t>ROUTAN</t>
  </si>
  <si>
    <t>TIGUAN</t>
  </si>
  <si>
    <t>TIGUAN 4MOTION</t>
  </si>
  <si>
    <t>TOUAREG</t>
  </si>
  <si>
    <t>TOUAREG TDI CLEAN DIESEL</t>
  </si>
  <si>
    <t>VOLVO</t>
  </si>
  <si>
    <t>S60</t>
  </si>
  <si>
    <t>S60 AWD</t>
  </si>
  <si>
    <t>S80</t>
  </si>
  <si>
    <t>S80 AWD</t>
  </si>
  <si>
    <t>XC60</t>
  </si>
  <si>
    <t>XC60 AWD</t>
  </si>
  <si>
    <t>XC70 AWD</t>
  </si>
  <si>
    <t>XC90 AWD</t>
  </si>
  <si>
    <t>X=Engine size</t>
  </si>
  <si>
    <t>Let ,</t>
  </si>
  <si>
    <t xml:space="preserve">linear regression equation </t>
  </si>
  <si>
    <t>a</t>
  </si>
  <si>
    <t>b</t>
  </si>
  <si>
    <t>x</t>
  </si>
  <si>
    <t>y</t>
  </si>
  <si>
    <t>intercept, bias, error</t>
  </si>
  <si>
    <t>regressand, dependent, response, predicted variable</t>
  </si>
  <si>
    <t>we need to determine a, b then we can predict y .</t>
  </si>
  <si>
    <t>let</t>
  </si>
  <si>
    <t>regressor , predictor, feature, explanatory, input, independent variable</t>
  </si>
  <si>
    <t>engine size and CO2 Emission</t>
  </si>
  <si>
    <t>y=Co2 Emission</t>
  </si>
  <si>
    <t>intercept</t>
  </si>
  <si>
    <t xml:space="preserve">average </t>
  </si>
  <si>
    <t>average</t>
  </si>
  <si>
    <t>xy</t>
  </si>
  <si>
    <t>x2</t>
  </si>
  <si>
    <t>total x</t>
  </si>
  <si>
    <t>total xy</t>
  </si>
  <si>
    <t>y =</t>
  </si>
  <si>
    <t>ax+b</t>
  </si>
  <si>
    <t>linear regression of</t>
  </si>
  <si>
    <t>n</t>
  </si>
  <si>
    <t>MSE</t>
  </si>
  <si>
    <t>Mean squar Error</t>
  </si>
  <si>
    <t>SST</t>
  </si>
  <si>
    <t>Total Sum Of the Sqaure</t>
  </si>
  <si>
    <t>SSR</t>
  </si>
  <si>
    <t>SSE</t>
  </si>
  <si>
    <t>Sum of the square Error, residual</t>
  </si>
  <si>
    <t>MSR</t>
  </si>
  <si>
    <t>Mean squar Regression</t>
  </si>
  <si>
    <t>SST measures the total variance in the dependent variable (y).</t>
  </si>
  <si>
    <t>It represents the total spread of the actual values around the mean (yˉ​).</t>
  </si>
  <si>
    <t>SST is used to calculate the R² (coefficient of determination).</t>
  </si>
  <si>
    <t>where:</t>
  </si>
  <si>
    <r>
      <t xml:space="preserve">The model says for every </t>
    </r>
    <r>
      <rPr>
        <b/>
        <sz val="11"/>
        <color theme="1"/>
        <rFont val="Calibri"/>
        <family val="2"/>
        <scheme val="minor"/>
      </rPr>
      <t>extra square foot</t>
    </r>
    <r>
      <rPr>
        <sz val="11"/>
        <color theme="1"/>
        <rFont val="Calibri"/>
        <family val="2"/>
        <scheme val="minor"/>
      </rPr>
      <t xml:space="preserve">, the price increases by </t>
    </r>
    <r>
      <rPr>
        <b/>
        <sz val="11"/>
        <color theme="1"/>
        <rFont val="Calibri"/>
        <family val="2"/>
        <scheme val="minor"/>
      </rPr>
      <t>$150</t>
    </r>
    <r>
      <rPr>
        <sz val="11"/>
        <color theme="1"/>
        <rFont val="Calibri"/>
        <family val="2"/>
        <scheme val="minor"/>
      </rPr>
      <t>.</t>
    </r>
  </si>
  <si>
    <r>
      <t xml:space="preserve">X= House Size in </t>
    </r>
    <r>
      <rPr>
        <b/>
        <sz val="11"/>
        <color theme="1"/>
        <rFont val="Calibri"/>
        <family val="2"/>
        <scheme val="minor"/>
      </rPr>
      <t>sq ft</t>
    </r>
  </si>
  <si>
    <t>If SST is large, prices vary a lot.</t>
  </si>
  <si>
    <r>
      <t xml:space="preserve">If SST is </t>
    </r>
    <r>
      <rPr>
        <b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>, prices are similar.</t>
    </r>
  </si>
  <si>
    <r>
      <t xml:space="preserve">Since SST is large, the house prices vary </t>
    </r>
    <r>
      <rPr>
        <b/>
        <sz val="11"/>
        <color theme="1"/>
        <rFont val="Calibri"/>
        <family val="2"/>
        <scheme val="minor"/>
      </rPr>
      <t>significantly</t>
    </r>
    <r>
      <rPr>
        <sz val="11"/>
        <color theme="1"/>
        <rFont val="Calibri"/>
        <family val="2"/>
        <scheme val="minor"/>
      </rPr>
      <t>.</t>
    </r>
  </si>
  <si>
    <t>Let</t>
  </si>
  <si>
    <t>Y(hat)=50,000+150×X</t>
  </si>
  <si>
    <t>SSR tells us how much of the variation is explained by our model.</t>
  </si>
  <si>
    <t>slop</t>
  </si>
  <si>
    <t>Regression/resudual Sum of the Square</t>
  </si>
  <si>
    <r>
      <t xml:space="preserve">Y(hat)= </t>
    </r>
    <r>
      <rPr>
        <b/>
        <sz val="11"/>
        <color theme="1"/>
        <rFont val="Calibri"/>
        <family val="2"/>
        <scheme val="minor"/>
      </rPr>
      <t>Predicted Price</t>
    </r>
  </si>
  <si>
    <t>Our model explains most of the variation in house prices! The more variation the model explains, the better.</t>
  </si>
  <si>
    <t>SST=SSE+SSR</t>
  </si>
  <si>
    <t>Higher SSR means the model is doing a good job at predicting prices.</t>
  </si>
  <si>
    <t>SSE measures the error (the part of variation that our model couldn’t explain).</t>
  </si>
  <si>
    <t>Lower SSE is better because it means the predictions are close to actual values.</t>
  </si>
  <si>
    <t>MSE tells us the average squared error per observation.</t>
  </si>
  <si>
    <t>Lower MSE = better predictions.</t>
  </si>
  <si>
    <t>Since MSE is small, the model is accurate.</t>
  </si>
  <si>
    <t>k=number of independent variable</t>
  </si>
  <si>
    <t>MSR tells us how much variation is explained per predictor.</t>
  </si>
  <si>
    <t>Higher MSR means our predictor (house size) is useful.</t>
  </si>
  <si>
    <t>Since MSR is very high, house size is a great predictor.</t>
  </si>
  <si>
    <t>R Square</t>
  </si>
  <si>
    <t>Coefficient of determination</t>
  </si>
  <si>
    <t>R² tells us how well the independent variables (predictors) explain the changes in the dependent variable (outcome)</t>
  </si>
  <si>
    <r>
      <t>Think of it as a percentage:</t>
    </r>
    <r>
      <rPr>
        <sz val="11"/>
        <color theme="1"/>
        <rFont val="Calibri"/>
        <family val="2"/>
        <scheme val="minor"/>
      </rPr>
      <t xml:space="preserve"> If R2=0.80R^2 = 0.80R2=0.80 (80%), it means </t>
    </r>
    <r>
      <rPr>
        <b/>
        <sz val="11"/>
        <color theme="1"/>
        <rFont val="Calibri"/>
        <family val="2"/>
        <scheme val="minor"/>
      </rPr>
      <t>80% of the changes in the dependent variable are explained by the regression model</t>
    </r>
    <r>
      <rPr>
        <sz val="11"/>
        <color theme="1"/>
        <rFont val="Calibri"/>
        <family val="2"/>
        <scheme val="minor"/>
      </rPr>
      <t xml:space="preserve">, and the remaining </t>
    </r>
    <r>
      <rPr>
        <b/>
        <sz val="11"/>
        <color theme="1"/>
        <rFont val="Calibri"/>
        <family val="2"/>
        <scheme val="minor"/>
      </rPr>
      <t>20% is unexplained</t>
    </r>
    <r>
      <rPr>
        <sz val="11"/>
        <color theme="1"/>
        <rFont val="Calibri"/>
        <family val="2"/>
        <scheme val="minor"/>
      </rPr>
      <t xml:space="preserve"> (due to randomness or other factors).</t>
    </r>
  </si>
  <si>
    <r>
      <t xml:space="preserve">Let’s say we want to predict </t>
    </r>
    <r>
      <rPr>
        <b/>
        <sz val="11"/>
        <color theme="1"/>
        <rFont val="Calibri"/>
        <family val="2"/>
        <scheme val="minor"/>
      </rPr>
      <t>house prices</t>
    </r>
    <r>
      <rPr>
        <sz val="11"/>
        <color theme="1"/>
        <rFont val="Calibri"/>
        <family val="2"/>
        <scheme val="minor"/>
      </rPr>
      <t xml:space="preserve"> based on </t>
    </r>
    <r>
      <rPr>
        <b/>
        <sz val="11"/>
        <color theme="1"/>
        <rFont val="Calibri"/>
        <family val="2"/>
        <scheme val="minor"/>
      </rPr>
      <t>square footage</t>
    </r>
    <r>
      <rPr>
        <sz val="11"/>
        <color theme="1"/>
        <rFont val="Calibri"/>
        <family val="2"/>
        <scheme val="minor"/>
      </rPr>
      <t>.</t>
    </r>
  </si>
  <si>
    <r>
      <t xml:space="preserve">After running the regression, we get </t>
    </r>
    <r>
      <rPr>
        <b/>
        <sz val="11"/>
        <color theme="1"/>
        <rFont val="Calibri"/>
        <family val="2"/>
        <scheme val="minor"/>
      </rPr>
      <t>R2=0.90R^2 = 0.90R2=0.90 (90%)</t>
    </r>
    <r>
      <rPr>
        <sz val="11"/>
        <color theme="1"/>
        <rFont val="Calibri"/>
        <family val="2"/>
        <scheme val="minor"/>
      </rPr>
      <t>.</t>
    </r>
  </si>
  <si>
    <r>
      <t xml:space="preserve">90% of the variation in house prices is </t>
    </r>
    <r>
      <rPr>
        <b/>
        <sz val="11"/>
        <color theme="1"/>
        <rFont val="Calibri"/>
        <family val="2"/>
        <scheme val="minor"/>
      </rPr>
      <t>explained by square footage</t>
    </r>
    <r>
      <rPr>
        <sz val="11"/>
        <color theme="1"/>
        <rFont val="Calibri"/>
        <family val="2"/>
        <scheme val="minor"/>
      </rPr>
      <t>.</t>
    </r>
  </si>
  <si>
    <t>If a house is larger, the model reliably predicts a higher price.</t>
  </si>
  <si>
    <r>
      <t xml:space="preserve">Only 10% of the price variation is due to </t>
    </r>
    <r>
      <rPr>
        <b/>
        <sz val="11"/>
        <color theme="1"/>
        <rFont val="Calibri"/>
        <family val="2"/>
        <scheme val="minor"/>
      </rPr>
      <t>other factors</t>
    </r>
    <r>
      <rPr>
        <sz val="11"/>
        <color theme="1"/>
        <rFont val="Calibri"/>
        <family val="2"/>
        <scheme val="minor"/>
      </rPr>
      <t xml:space="preserve"> (e.g., location, age, market demand).</t>
    </r>
  </si>
  <si>
    <t>Interpretation:</t>
  </si>
  <si>
    <r>
      <t xml:space="preserve">If you increase square footage, the price prediction </t>
    </r>
    <r>
      <rPr>
        <b/>
        <sz val="11"/>
        <color theme="1"/>
        <rFont val="Calibri"/>
        <family val="2"/>
        <scheme val="minor"/>
      </rPr>
      <t>strongly follows the pattern</t>
    </r>
    <r>
      <rPr>
        <sz val="11"/>
        <color theme="1"/>
        <rFont val="Calibri"/>
        <family val="2"/>
        <scheme val="minor"/>
      </rPr>
      <t>.</t>
    </r>
  </si>
  <si>
    <t>Low R² (Weak Model)</t>
  </si>
  <si>
    <t>How to Check If R² is Significant?</t>
  </si>
  <si>
    <t>R² alone is not enough!</t>
  </si>
  <si>
    <r>
      <t xml:space="preserve">Always check </t>
    </r>
    <r>
      <rPr>
        <b/>
        <sz val="11"/>
        <color theme="1"/>
        <rFont val="Calibri"/>
        <family val="2"/>
        <scheme val="minor"/>
      </rPr>
      <t>Adjusted R²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MSE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Residual Plots</t>
    </r>
    <r>
      <rPr>
        <sz val="11"/>
        <color theme="1"/>
        <rFont val="Calibri"/>
        <family val="2"/>
        <scheme val="minor"/>
      </rPr>
      <t xml:space="preserve"> to ensure the model is meaningful.</t>
    </r>
  </si>
  <si>
    <t>Higher R² → The model explains the dependent variable well → Good predictions.</t>
  </si>
  <si>
    <t xml:space="preserve"> Lower R² → The model does not explain much variation → Unreliable predictions.</t>
  </si>
  <si>
    <t>Adjusted R² (Adjusted R-Squared)</t>
  </si>
  <si>
    <t>Adjusted R² is a modified version of R² that penalizes the addition of unnecessary independent variables in a regression model.</t>
  </si>
  <si>
    <t>Why Do We Need Adjusted R²?</t>
  </si>
  <si>
    <t>Problem with R²: R² always increases when we add more predictors—even if they are not useful!</t>
  </si>
  <si>
    <t>Solution: Adjusted R² penalizes extra predictors and only increases if the new variable actually improves the model.</t>
  </si>
  <si>
    <t>R2=0.85 (85%) → 85% of the variation in house prices is explained.</t>
  </si>
  <si>
    <t>Radj2​=0.84 (almost the same)</t>
  </si>
  <si>
    <t>Adding Useless Predictors</t>
  </si>
  <si>
    <r>
      <t xml:space="preserve">Now, we add </t>
    </r>
    <r>
      <rPr>
        <b/>
        <sz val="11"/>
        <color theme="1"/>
        <rFont val="Calibri"/>
        <family val="2"/>
        <scheme val="minor"/>
      </rPr>
      <t>Color of the Roof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Windows</t>
    </r>
    <r>
      <rPr>
        <sz val="11"/>
        <color theme="1"/>
        <rFont val="Calibri"/>
        <family val="2"/>
        <scheme val="minor"/>
      </rPr>
      <t xml:space="preserve"> to the model.</t>
    </r>
  </si>
  <si>
    <t>Price=50000+200×Square Footage+1000×Windows+500×Roof Color\text{Price} = 50000 + 200 \times \text{Square Footage} + 1000 \times \text{Windows} + 500 \times \text{Roof Color}Price=50000+200×Square Footage+1000×Windows+500×Roof Color</t>
  </si>
  <si>
    <r>
      <t>R2=0.88R^2 = 0.88R2=0.88 (88%)</t>
    </r>
    <r>
      <rPr>
        <sz val="11"/>
        <color theme="1"/>
        <rFont val="Calibri"/>
        <family val="2"/>
        <scheme val="minor"/>
      </rPr>
      <t xml:space="preserve"> → Seems like the model improved!</t>
    </r>
  </si>
  <si>
    <t>Radj2=0.83R^2_{\text{adj}} = 0.83Radj2​=0.83 (Dropped!)</t>
  </si>
  <si>
    <r>
      <t xml:space="preserve">👉 </t>
    </r>
    <r>
      <rPr>
        <b/>
        <sz val="11"/>
        <color theme="1"/>
        <rFont val="Calibri"/>
        <family val="2"/>
        <scheme val="minor"/>
      </rPr>
      <t>Conclusion:</t>
    </r>
    <r>
      <rPr>
        <sz val="11"/>
        <color theme="1"/>
        <rFont val="Calibri"/>
        <family val="2"/>
        <scheme val="minor"/>
      </rPr>
      <t xml:space="preserve"> The new variables </t>
    </r>
    <r>
      <rPr>
        <b/>
        <sz val="11"/>
        <color theme="1"/>
        <rFont val="Calibri"/>
        <family val="2"/>
        <scheme val="minor"/>
      </rPr>
      <t>do not really help</t>
    </r>
    <r>
      <rPr>
        <sz val="11"/>
        <color theme="1"/>
        <rFont val="Calibri"/>
        <family val="2"/>
        <scheme val="minor"/>
      </rPr>
      <t xml:space="preserve">, and Adjusted R² </t>
    </r>
    <r>
      <rPr>
        <b/>
        <sz val="11"/>
        <color theme="1"/>
        <rFont val="Calibri"/>
        <family val="2"/>
        <scheme val="minor"/>
      </rPr>
      <t>penalizes them</t>
    </r>
    <r>
      <rPr>
        <sz val="11"/>
        <color theme="1"/>
        <rFont val="Calibri"/>
        <family val="2"/>
        <scheme val="minor"/>
      </rPr>
      <t>, showing they were useless.</t>
    </r>
  </si>
  <si>
    <t>How to Interpret Adjusted R²?</t>
  </si>
  <si>
    <r>
      <t>If Adjusted R² increases</t>
    </r>
    <r>
      <rPr>
        <sz val="11"/>
        <color theme="1"/>
        <rFont val="Calibri"/>
        <family val="2"/>
        <scheme val="minor"/>
      </rPr>
      <t xml:space="preserve"> → The new predictor </t>
    </r>
    <r>
      <rPr>
        <b/>
        <sz val="11"/>
        <color theme="1"/>
        <rFont val="Calibri"/>
        <family val="2"/>
        <scheme val="minor"/>
      </rPr>
      <t>improved the model</t>
    </r>
    <r>
      <rPr>
        <sz val="11"/>
        <color theme="1"/>
        <rFont val="Calibri"/>
        <family val="2"/>
        <scheme val="minor"/>
      </rPr>
      <t>.</t>
    </r>
  </si>
  <si>
    <r>
      <t>If Adjusted R² decreases</t>
    </r>
    <r>
      <rPr>
        <sz val="11"/>
        <color theme="1"/>
        <rFont val="Calibri"/>
        <family val="2"/>
        <scheme val="minor"/>
      </rPr>
      <t xml:space="preserve"> → The new predictor was </t>
    </r>
    <r>
      <rPr>
        <b/>
        <sz val="11"/>
        <color theme="1"/>
        <rFont val="Calibri"/>
        <family val="2"/>
        <scheme val="minor"/>
      </rPr>
      <t>useless or harmful</t>
    </r>
    <r>
      <rPr>
        <sz val="11"/>
        <color theme="1"/>
        <rFont val="Calibri"/>
        <family val="2"/>
        <scheme val="minor"/>
      </rPr>
      <t>.</t>
    </r>
  </si>
  <si>
    <r>
      <t>If Adjusted R² is much lower than R²</t>
    </r>
    <r>
      <rPr>
        <sz val="11"/>
        <color theme="1"/>
        <rFont val="Calibri"/>
        <family val="2"/>
        <scheme val="minor"/>
      </rPr>
      <t xml:space="preserve">, your model </t>
    </r>
    <r>
      <rPr>
        <b/>
        <sz val="11"/>
        <color theme="1"/>
        <rFont val="Calibri"/>
        <family val="2"/>
        <scheme val="minor"/>
      </rPr>
      <t>has too many unnecessary variables</t>
    </r>
    <r>
      <rPr>
        <sz val="11"/>
        <color theme="1"/>
        <rFont val="Calibri"/>
        <family val="2"/>
        <scheme val="minor"/>
      </rPr>
      <t>.</t>
    </r>
  </si>
  <si>
    <t>Key Takeaways</t>
  </si>
  <si>
    <r>
      <t xml:space="preserve">✅ </t>
    </r>
    <r>
      <rPr>
        <b/>
        <sz val="11"/>
        <color theme="1"/>
        <rFont val="Calibri"/>
        <family val="2"/>
        <scheme val="minor"/>
      </rPr>
      <t>Use Adjusted R² when comparing models</t>
    </r>
    <r>
      <rPr>
        <sz val="11"/>
        <color theme="1"/>
        <rFont val="Calibri"/>
        <family val="2"/>
        <scheme val="minor"/>
      </rPr>
      <t xml:space="preserve"> with different numbers of predictors.</t>
    </r>
  </si>
  <si>
    <r>
      <t xml:space="preserve">✅ </t>
    </r>
    <r>
      <rPr>
        <b/>
        <sz val="11"/>
        <color theme="1"/>
        <rFont val="Calibri"/>
        <family val="2"/>
        <scheme val="minor"/>
      </rPr>
      <t>If Adjusted R² drops</t>
    </r>
    <r>
      <rPr>
        <sz val="11"/>
        <color theme="1"/>
        <rFont val="Calibri"/>
        <family val="2"/>
        <scheme val="minor"/>
      </rPr>
      <t>, remove unnecessary variables.</t>
    </r>
  </si>
  <si>
    <r>
      <t xml:space="preserve">❌ </t>
    </r>
    <r>
      <rPr>
        <b/>
        <sz val="11"/>
        <color theme="1"/>
        <rFont val="Calibri"/>
        <family val="2"/>
        <scheme val="minor"/>
      </rPr>
      <t>Never trust R² alone</t>
    </r>
    <r>
      <rPr>
        <sz val="11"/>
        <color theme="1"/>
        <rFont val="Calibri"/>
        <family val="2"/>
        <scheme val="minor"/>
      </rPr>
      <t>—it can mislead you into thinking the model is better than it actually 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</si>
</sst>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 indent="1"/>
    </xf>
    <xf numFmtId="3" fontId="0" fillId="0" borderId="0" xfId="0" applyNumberFormat="1"/>
    <xf numFmtId="0" fontId="16" fillId="0" borderId="0" xfId="0" applyFont="1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Engine</a:t>
            </a:r>
            <a:r>
              <a:rPr lang="en-GB" baseline="0"/>
              <a:t> Size / CO2 Emission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FuelConsumptionCo2!$M$1</c:f>
              <c:strCache>
                <c:ptCount val="1"/>
                <c:pt idx="0">
                  <c:v>CO2EMISSIONS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7625" cap="rnd" cmpd="sng">
                <a:solidFill>
                  <a:schemeClr val="accent2">
                    <a:lumMod val="75000"/>
                  </a:schemeClr>
                </a:solidFill>
                <a:prstDash val="sysDot"/>
              </a:ln>
              <a:effectLst>
                <a:outerShdw dir="5700000" sx="1000" sy="1000" algn="ctr" rotWithShape="0">
                  <a:schemeClr val="accent2">
                    <a:lumMod val="75000"/>
                  </a:schemeClr>
                </a:outerShdw>
              </a:effectLst>
            </c:spPr>
            <c:trendlineType val="linear"/>
            <c:dispRSqr val="1"/>
            <c:dispEq val="1"/>
            <c:trendlineLbl>
              <c:layout>
                <c:manualLayout>
                  <c:x val="4.3583690652529823E-2"/>
                  <c:y val="0.343301344041493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FuelConsumptionCo2!$E$2:$E$1068</c:f>
              <c:numCache>
                <c:formatCode>General</c:formatCode>
                <c:ptCount val="1067"/>
                <c:pt idx="0">
                  <c:v>1.5</c:v>
                </c:pt>
                <c:pt idx="1">
                  <c:v>2</c:v>
                </c:pt>
                <c:pt idx="2">
                  <c:v>1.8</c:v>
                </c:pt>
                <c:pt idx="3">
                  <c:v>1.4</c:v>
                </c:pt>
                <c:pt idx="4">
                  <c:v>2</c:v>
                </c:pt>
                <c:pt idx="5">
                  <c:v>1.8</c:v>
                </c:pt>
                <c:pt idx="6">
                  <c:v>1.8</c:v>
                </c:pt>
                <c:pt idx="7">
                  <c:v>2.5</c:v>
                </c:pt>
                <c:pt idx="8">
                  <c:v>1.5</c:v>
                </c:pt>
                <c:pt idx="9">
                  <c:v>2</c:v>
                </c:pt>
                <c:pt idx="10">
                  <c:v>2.5</c:v>
                </c:pt>
                <c:pt idx="11">
                  <c:v>1.2</c:v>
                </c:pt>
                <c:pt idx="12">
                  <c:v>2.5</c:v>
                </c:pt>
                <c:pt idx="13">
                  <c:v>2.4</c:v>
                </c:pt>
                <c:pt idx="14">
                  <c:v>1.3</c:v>
                </c:pt>
                <c:pt idx="15">
                  <c:v>1.5</c:v>
                </c:pt>
                <c:pt idx="16">
                  <c:v>2.4</c:v>
                </c:pt>
                <c:pt idx="17">
                  <c:v>2</c:v>
                </c:pt>
                <c:pt idx="18">
                  <c:v>1.2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1.6</c:v>
                </c:pt>
                <c:pt idx="23">
                  <c:v>2</c:v>
                </c:pt>
                <c:pt idx="24">
                  <c:v>2</c:v>
                </c:pt>
                <c:pt idx="25">
                  <c:v>1.4</c:v>
                </c:pt>
                <c:pt idx="26">
                  <c:v>1.8</c:v>
                </c:pt>
                <c:pt idx="27">
                  <c:v>2</c:v>
                </c:pt>
                <c:pt idx="28">
                  <c:v>1.2</c:v>
                </c:pt>
                <c:pt idx="29">
                  <c:v>1.2</c:v>
                </c:pt>
                <c:pt idx="30">
                  <c:v>1.5</c:v>
                </c:pt>
                <c:pt idx="31">
                  <c:v>2</c:v>
                </c:pt>
                <c:pt idx="32">
                  <c:v>1.8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1.6</c:v>
                </c:pt>
                <c:pt idx="37">
                  <c:v>1.8</c:v>
                </c:pt>
                <c:pt idx="38">
                  <c:v>2</c:v>
                </c:pt>
                <c:pt idx="39">
                  <c:v>2</c:v>
                </c:pt>
                <c:pt idx="40">
                  <c:v>1.8</c:v>
                </c:pt>
                <c:pt idx="41">
                  <c:v>2</c:v>
                </c:pt>
                <c:pt idx="42">
                  <c:v>1.4</c:v>
                </c:pt>
                <c:pt idx="43">
                  <c:v>2</c:v>
                </c:pt>
                <c:pt idx="44">
                  <c:v>1.8</c:v>
                </c:pt>
                <c:pt idx="45">
                  <c:v>1.5</c:v>
                </c:pt>
                <c:pt idx="46">
                  <c:v>2</c:v>
                </c:pt>
                <c:pt idx="47">
                  <c:v>1.4</c:v>
                </c:pt>
                <c:pt idx="48">
                  <c:v>2</c:v>
                </c:pt>
                <c:pt idx="49">
                  <c:v>1.8</c:v>
                </c:pt>
                <c:pt idx="50">
                  <c:v>2</c:v>
                </c:pt>
                <c:pt idx="51">
                  <c:v>2</c:v>
                </c:pt>
                <c:pt idx="52">
                  <c:v>2.1</c:v>
                </c:pt>
                <c:pt idx="53">
                  <c:v>2</c:v>
                </c:pt>
                <c:pt idx="54">
                  <c:v>1.4</c:v>
                </c:pt>
                <c:pt idx="55">
                  <c:v>1.4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1.6</c:v>
                </c:pt>
                <c:pt idx="60">
                  <c:v>1.8</c:v>
                </c:pt>
                <c:pt idx="61">
                  <c:v>1.5</c:v>
                </c:pt>
                <c:pt idx="62">
                  <c:v>2</c:v>
                </c:pt>
                <c:pt idx="63">
                  <c:v>2</c:v>
                </c:pt>
                <c:pt idx="64">
                  <c:v>1.5</c:v>
                </c:pt>
                <c:pt idx="65">
                  <c:v>2.5</c:v>
                </c:pt>
                <c:pt idx="66">
                  <c:v>1.8</c:v>
                </c:pt>
                <c:pt idx="67">
                  <c:v>1.4</c:v>
                </c:pt>
                <c:pt idx="68">
                  <c:v>1.4</c:v>
                </c:pt>
                <c:pt idx="69">
                  <c:v>1.5</c:v>
                </c:pt>
                <c:pt idx="70">
                  <c:v>3.5</c:v>
                </c:pt>
                <c:pt idx="71">
                  <c:v>1.6</c:v>
                </c:pt>
                <c:pt idx="72">
                  <c:v>1.6</c:v>
                </c:pt>
                <c:pt idx="73">
                  <c:v>1.8</c:v>
                </c:pt>
                <c:pt idx="74">
                  <c:v>3.5</c:v>
                </c:pt>
                <c:pt idx="75">
                  <c:v>1.6</c:v>
                </c:pt>
                <c:pt idx="76">
                  <c:v>1.6</c:v>
                </c:pt>
                <c:pt idx="77">
                  <c:v>3.5</c:v>
                </c:pt>
                <c:pt idx="78">
                  <c:v>2.5</c:v>
                </c:pt>
                <c:pt idx="79">
                  <c:v>1.6</c:v>
                </c:pt>
                <c:pt idx="80">
                  <c:v>2.5</c:v>
                </c:pt>
                <c:pt idx="81">
                  <c:v>1.4</c:v>
                </c:pt>
                <c:pt idx="82">
                  <c:v>2</c:v>
                </c:pt>
                <c:pt idx="83">
                  <c:v>1.5</c:v>
                </c:pt>
                <c:pt idx="84">
                  <c:v>1.6</c:v>
                </c:pt>
                <c:pt idx="85">
                  <c:v>1.6</c:v>
                </c:pt>
                <c:pt idx="86">
                  <c:v>1.6</c:v>
                </c:pt>
                <c:pt idx="87">
                  <c:v>1.6</c:v>
                </c:pt>
                <c:pt idx="88">
                  <c:v>1.5</c:v>
                </c:pt>
                <c:pt idx="89">
                  <c:v>2.5</c:v>
                </c:pt>
                <c:pt idx="90">
                  <c:v>1.6</c:v>
                </c:pt>
                <c:pt idx="91">
                  <c:v>2</c:v>
                </c:pt>
                <c:pt idx="92">
                  <c:v>1.8</c:v>
                </c:pt>
                <c:pt idx="93">
                  <c:v>1.4</c:v>
                </c:pt>
                <c:pt idx="94">
                  <c:v>1.4</c:v>
                </c:pt>
                <c:pt idx="95">
                  <c:v>1.4</c:v>
                </c:pt>
                <c:pt idx="96">
                  <c:v>1.4</c:v>
                </c:pt>
                <c:pt idx="97">
                  <c:v>1.4</c:v>
                </c:pt>
                <c:pt idx="98">
                  <c:v>1.4</c:v>
                </c:pt>
                <c:pt idx="99">
                  <c:v>2</c:v>
                </c:pt>
                <c:pt idx="100">
                  <c:v>2</c:v>
                </c:pt>
                <c:pt idx="101">
                  <c:v>1.6</c:v>
                </c:pt>
                <c:pt idx="102">
                  <c:v>1.6</c:v>
                </c:pt>
                <c:pt idx="103">
                  <c:v>1.6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1.6</c:v>
                </c:pt>
                <c:pt idx="108">
                  <c:v>1.6</c:v>
                </c:pt>
                <c:pt idx="109">
                  <c:v>1.8</c:v>
                </c:pt>
                <c:pt idx="110">
                  <c:v>2</c:v>
                </c:pt>
                <c:pt idx="111">
                  <c:v>2</c:v>
                </c:pt>
                <c:pt idx="112">
                  <c:v>3</c:v>
                </c:pt>
                <c:pt idx="113">
                  <c:v>1.8</c:v>
                </c:pt>
                <c:pt idx="114">
                  <c:v>1.8</c:v>
                </c:pt>
                <c:pt idx="115">
                  <c:v>1.4</c:v>
                </c:pt>
                <c:pt idx="116">
                  <c:v>1.4</c:v>
                </c:pt>
                <c:pt idx="117">
                  <c:v>1.4</c:v>
                </c:pt>
                <c:pt idx="118">
                  <c:v>1.4</c:v>
                </c:pt>
                <c:pt idx="119">
                  <c:v>2.4</c:v>
                </c:pt>
                <c:pt idx="120">
                  <c:v>1.8</c:v>
                </c:pt>
                <c:pt idx="121">
                  <c:v>2.5</c:v>
                </c:pt>
                <c:pt idx="122">
                  <c:v>1.4</c:v>
                </c:pt>
                <c:pt idx="123">
                  <c:v>1.4</c:v>
                </c:pt>
                <c:pt idx="124">
                  <c:v>1.6</c:v>
                </c:pt>
                <c:pt idx="125">
                  <c:v>2</c:v>
                </c:pt>
                <c:pt idx="126">
                  <c:v>1.6</c:v>
                </c:pt>
                <c:pt idx="127">
                  <c:v>1.8</c:v>
                </c:pt>
                <c:pt idx="128">
                  <c:v>2</c:v>
                </c:pt>
                <c:pt idx="129">
                  <c:v>2</c:v>
                </c:pt>
                <c:pt idx="130">
                  <c:v>1.6</c:v>
                </c:pt>
                <c:pt idx="131">
                  <c:v>1.6</c:v>
                </c:pt>
                <c:pt idx="132">
                  <c:v>1.6</c:v>
                </c:pt>
                <c:pt idx="133">
                  <c:v>1.6</c:v>
                </c:pt>
                <c:pt idx="134">
                  <c:v>1.6</c:v>
                </c:pt>
                <c:pt idx="135">
                  <c:v>1.6</c:v>
                </c:pt>
                <c:pt idx="136">
                  <c:v>1.6</c:v>
                </c:pt>
                <c:pt idx="137">
                  <c:v>1.6</c:v>
                </c:pt>
                <c:pt idx="138">
                  <c:v>1.8</c:v>
                </c:pt>
                <c:pt idx="139">
                  <c:v>1.4</c:v>
                </c:pt>
                <c:pt idx="140">
                  <c:v>2</c:v>
                </c:pt>
                <c:pt idx="141">
                  <c:v>1.6</c:v>
                </c:pt>
                <c:pt idx="142">
                  <c:v>1.5</c:v>
                </c:pt>
                <c:pt idx="143">
                  <c:v>2.4</c:v>
                </c:pt>
                <c:pt idx="144">
                  <c:v>2.5</c:v>
                </c:pt>
                <c:pt idx="145">
                  <c:v>1.6</c:v>
                </c:pt>
                <c:pt idx="146">
                  <c:v>2.4</c:v>
                </c:pt>
                <c:pt idx="147">
                  <c:v>2.4</c:v>
                </c:pt>
                <c:pt idx="148">
                  <c:v>1.8</c:v>
                </c:pt>
                <c:pt idx="149">
                  <c:v>3.5</c:v>
                </c:pt>
                <c:pt idx="150">
                  <c:v>3.5</c:v>
                </c:pt>
                <c:pt idx="151">
                  <c:v>2</c:v>
                </c:pt>
                <c:pt idx="152">
                  <c:v>2</c:v>
                </c:pt>
                <c:pt idx="153">
                  <c:v>2.5</c:v>
                </c:pt>
                <c:pt idx="154">
                  <c:v>1.8</c:v>
                </c:pt>
                <c:pt idx="155">
                  <c:v>3.5</c:v>
                </c:pt>
                <c:pt idx="156">
                  <c:v>1.8</c:v>
                </c:pt>
                <c:pt idx="157">
                  <c:v>1.8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1.8</c:v>
                </c:pt>
                <c:pt idx="162">
                  <c:v>1.8</c:v>
                </c:pt>
                <c:pt idx="163">
                  <c:v>1.4</c:v>
                </c:pt>
                <c:pt idx="164">
                  <c:v>1.4</c:v>
                </c:pt>
                <c:pt idx="165">
                  <c:v>1.8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2</c:v>
                </c:pt>
                <c:pt idx="175">
                  <c:v>2.5</c:v>
                </c:pt>
                <c:pt idx="176">
                  <c:v>3.5</c:v>
                </c:pt>
                <c:pt idx="177">
                  <c:v>3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1.4</c:v>
                </c:pt>
                <c:pt idx="182">
                  <c:v>1.4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1.4</c:v>
                </c:pt>
                <c:pt idx="191">
                  <c:v>1.5</c:v>
                </c:pt>
                <c:pt idx="192">
                  <c:v>2</c:v>
                </c:pt>
                <c:pt idx="193">
                  <c:v>2.4</c:v>
                </c:pt>
                <c:pt idx="194">
                  <c:v>1.6</c:v>
                </c:pt>
                <c:pt idx="195">
                  <c:v>2.5</c:v>
                </c:pt>
                <c:pt idx="196">
                  <c:v>2</c:v>
                </c:pt>
                <c:pt idx="197">
                  <c:v>2</c:v>
                </c:pt>
                <c:pt idx="198">
                  <c:v>2.1</c:v>
                </c:pt>
                <c:pt idx="199">
                  <c:v>1.6</c:v>
                </c:pt>
                <c:pt idx="200">
                  <c:v>1.6</c:v>
                </c:pt>
                <c:pt idx="201">
                  <c:v>1.6</c:v>
                </c:pt>
                <c:pt idx="202">
                  <c:v>1.6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1.8</c:v>
                </c:pt>
                <c:pt idx="208">
                  <c:v>1.8</c:v>
                </c:pt>
                <c:pt idx="209">
                  <c:v>2.4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2.5</c:v>
                </c:pt>
                <c:pt idx="214">
                  <c:v>2</c:v>
                </c:pt>
                <c:pt idx="215">
                  <c:v>2</c:v>
                </c:pt>
                <c:pt idx="216">
                  <c:v>2.4</c:v>
                </c:pt>
                <c:pt idx="217">
                  <c:v>1.6</c:v>
                </c:pt>
                <c:pt idx="218">
                  <c:v>2.5</c:v>
                </c:pt>
                <c:pt idx="219">
                  <c:v>2.5</c:v>
                </c:pt>
                <c:pt idx="220">
                  <c:v>2.5</c:v>
                </c:pt>
                <c:pt idx="221">
                  <c:v>1.8</c:v>
                </c:pt>
                <c:pt idx="222">
                  <c:v>1.8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2.4</c:v>
                </c:pt>
                <c:pt idx="228">
                  <c:v>1.4</c:v>
                </c:pt>
                <c:pt idx="229">
                  <c:v>2.4</c:v>
                </c:pt>
                <c:pt idx="230">
                  <c:v>2.4</c:v>
                </c:pt>
                <c:pt idx="231">
                  <c:v>1.6</c:v>
                </c:pt>
                <c:pt idx="232">
                  <c:v>1.6</c:v>
                </c:pt>
                <c:pt idx="233">
                  <c:v>2</c:v>
                </c:pt>
                <c:pt idx="234">
                  <c:v>1.6</c:v>
                </c:pt>
                <c:pt idx="235">
                  <c:v>1.8</c:v>
                </c:pt>
                <c:pt idx="236">
                  <c:v>1.8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1.8</c:v>
                </c:pt>
                <c:pt idx="241">
                  <c:v>2.4</c:v>
                </c:pt>
                <c:pt idx="242">
                  <c:v>2.4</c:v>
                </c:pt>
                <c:pt idx="243">
                  <c:v>1.6</c:v>
                </c:pt>
                <c:pt idx="244">
                  <c:v>2</c:v>
                </c:pt>
                <c:pt idx="245">
                  <c:v>3.5</c:v>
                </c:pt>
                <c:pt idx="246">
                  <c:v>2</c:v>
                </c:pt>
                <c:pt idx="247">
                  <c:v>2.5</c:v>
                </c:pt>
                <c:pt idx="248">
                  <c:v>2</c:v>
                </c:pt>
                <c:pt idx="249">
                  <c:v>2.5</c:v>
                </c:pt>
                <c:pt idx="250">
                  <c:v>1.6</c:v>
                </c:pt>
                <c:pt idx="251">
                  <c:v>2.5</c:v>
                </c:pt>
                <c:pt idx="252">
                  <c:v>1.8</c:v>
                </c:pt>
                <c:pt idx="253">
                  <c:v>2.5</c:v>
                </c:pt>
                <c:pt idx="254">
                  <c:v>2.5</c:v>
                </c:pt>
                <c:pt idx="255">
                  <c:v>1.4</c:v>
                </c:pt>
                <c:pt idx="256">
                  <c:v>2</c:v>
                </c:pt>
                <c:pt idx="257">
                  <c:v>1.6</c:v>
                </c:pt>
                <c:pt idx="258">
                  <c:v>2</c:v>
                </c:pt>
                <c:pt idx="259">
                  <c:v>1.8</c:v>
                </c:pt>
                <c:pt idx="260">
                  <c:v>1.6</c:v>
                </c:pt>
                <c:pt idx="261">
                  <c:v>1.6</c:v>
                </c:pt>
                <c:pt idx="262">
                  <c:v>1.6</c:v>
                </c:pt>
                <c:pt idx="263">
                  <c:v>1.6</c:v>
                </c:pt>
                <c:pt idx="264">
                  <c:v>2</c:v>
                </c:pt>
                <c:pt idx="265">
                  <c:v>2.5</c:v>
                </c:pt>
                <c:pt idx="266">
                  <c:v>2.5</c:v>
                </c:pt>
                <c:pt idx="267">
                  <c:v>2.5</c:v>
                </c:pt>
                <c:pt idx="268">
                  <c:v>2</c:v>
                </c:pt>
                <c:pt idx="269">
                  <c:v>2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2.4</c:v>
                </c:pt>
                <c:pt idx="281">
                  <c:v>1.6</c:v>
                </c:pt>
                <c:pt idx="282">
                  <c:v>2</c:v>
                </c:pt>
                <c:pt idx="283">
                  <c:v>2.4</c:v>
                </c:pt>
                <c:pt idx="284">
                  <c:v>3.5</c:v>
                </c:pt>
                <c:pt idx="285">
                  <c:v>2.4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2.4</c:v>
                </c:pt>
                <c:pt idx="290">
                  <c:v>2</c:v>
                </c:pt>
                <c:pt idx="291">
                  <c:v>2.4</c:v>
                </c:pt>
                <c:pt idx="292">
                  <c:v>2</c:v>
                </c:pt>
                <c:pt idx="293">
                  <c:v>3</c:v>
                </c:pt>
                <c:pt idx="294">
                  <c:v>1.4</c:v>
                </c:pt>
                <c:pt idx="295">
                  <c:v>2.4</c:v>
                </c:pt>
                <c:pt idx="296">
                  <c:v>2</c:v>
                </c:pt>
                <c:pt idx="297">
                  <c:v>2</c:v>
                </c:pt>
                <c:pt idx="298">
                  <c:v>2.7</c:v>
                </c:pt>
                <c:pt idx="299">
                  <c:v>2.7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3</c:v>
                </c:pt>
                <c:pt idx="305">
                  <c:v>1.6</c:v>
                </c:pt>
                <c:pt idx="306">
                  <c:v>2</c:v>
                </c:pt>
                <c:pt idx="307">
                  <c:v>2</c:v>
                </c:pt>
                <c:pt idx="308">
                  <c:v>3.5</c:v>
                </c:pt>
                <c:pt idx="309">
                  <c:v>2</c:v>
                </c:pt>
                <c:pt idx="310">
                  <c:v>2</c:v>
                </c:pt>
                <c:pt idx="311">
                  <c:v>2.5</c:v>
                </c:pt>
                <c:pt idx="312">
                  <c:v>2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1.6</c:v>
                </c:pt>
                <c:pt idx="319">
                  <c:v>1.8</c:v>
                </c:pt>
                <c:pt idx="320">
                  <c:v>1.8</c:v>
                </c:pt>
                <c:pt idx="321">
                  <c:v>2.5</c:v>
                </c:pt>
                <c:pt idx="322">
                  <c:v>2</c:v>
                </c:pt>
                <c:pt idx="323">
                  <c:v>2</c:v>
                </c:pt>
                <c:pt idx="324">
                  <c:v>2.5</c:v>
                </c:pt>
                <c:pt idx="325">
                  <c:v>2</c:v>
                </c:pt>
                <c:pt idx="326">
                  <c:v>2.4</c:v>
                </c:pt>
                <c:pt idx="327">
                  <c:v>1.6</c:v>
                </c:pt>
                <c:pt idx="328">
                  <c:v>2.4</c:v>
                </c:pt>
                <c:pt idx="329">
                  <c:v>2.4</c:v>
                </c:pt>
                <c:pt idx="330">
                  <c:v>2</c:v>
                </c:pt>
                <c:pt idx="331">
                  <c:v>2</c:v>
                </c:pt>
                <c:pt idx="332">
                  <c:v>2.5</c:v>
                </c:pt>
                <c:pt idx="333">
                  <c:v>2.5</c:v>
                </c:pt>
                <c:pt idx="334">
                  <c:v>2.4</c:v>
                </c:pt>
                <c:pt idx="335">
                  <c:v>3</c:v>
                </c:pt>
                <c:pt idx="336">
                  <c:v>3</c:v>
                </c:pt>
                <c:pt idx="337">
                  <c:v>2</c:v>
                </c:pt>
                <c:pt idx="338">
                  <c:v>2.5</c:v>
                </c:pt>
                <c:pt idx="339">
                  <c:v>2</c:v>
                </c:pt>
                <c:pt idx="340">
                  <c:v>3.5</c:v>
                </c:pt>
                <c:pt idx="341">
                  <c:v>2</c:v>
                </c:pt>
                <c:pt idx="342">
                  <c:v>1.6</c:v>
                </c:pt>
                <c:pt idx="343">
                  <c:v>3.5</c:v>
                </c:pt>
                <c:pt idx="344">
                  <c:v>2</c:v>
                </c:pt>
                <c:pt idx="345">
                  <c:v>2</c:v>
                </c:pt>
                <c:pt idx="346">
                  <c:v>3.5</c:v>
                </c:pt>
                <c:pt idx="347">
                  <c:v>3.5</c:v>
                </c:pt>
                <c:pt idx="348">
                  <c:v>2.5</c:v>
                </c:pt>
                <c:pt idx="349">
                  <c:v>2</c:v>
                </c:pt>
                <c:pt idx="350">
                  <c:v>1.6</c:v>
                </c:pt>
                <c:pt idx="351">
                  <c:v>2.5</c:v>
                </c:pt>
                <c:pt idx="352">
                  <c:v>2.5</c:v>
                </c:pt>
                <c:pt idx="353">
                  <c:v>2.5</c:v>
                </c:pt>
                <c:pt idx="354">
                  <c:v>2.5</c:v>
                </c:pt>
                <c:pt idx="355">
                  <c:v>2</c:v>
                </c:pt>
                <c:pt idx="356">
                  <c:v>2.5</c:v>
                </c:pt>
                <c:pt idx="357">
                  <c:v>2.5</c:v>
                </c:pt>
                <c:pt idx="358">
                  <c:v>2.4</c:v>
                </c:pt>
                <c:pt idx="359">
                  <c:v>2</c:v>
                </c:pt>
                <c:pt idx="360">
                  <c:v>2</c:v>
                </c:pt>
                <c:pt idx="361">
                  <c:v>2.4</c:v>
                </c:pt>
                <c:pt idx="362">
                  <c:v>2.4</c:v>
                </c:pt>
                <c:pt idx="363">
                  <c:v>2</c:v>
                </c:pt>
                <c:pt idx="364">
                  <c:v>2</c:v>
                </c:pt>
                <c:pt idx="365">
                  <c:v>2.4</c:v>
                </c:pt>
                <c:pt idx="366">
                  <c:v>2</c:v>
                </c:pt>
                <c:pt idx="367">
                  <c:v>2.4</c:v>
                </c:pt>
                <c:pt idx="368">
                  <c:v>1.6</c:v>
                </c:pt>
                <c:pt idx="369">
                  <c:v>2</c:v>
                </c:pt>
                <c:pt idx="370">
                  <c:v>2</c:v>
                </c:pt>
                <c:pt idx="371">
                  <c:v>2.5</c:v>
                </c:pt>
                <c:pt idx="372">
                  <c:v>3.5</c:v>
                </c:pt>
                <c:pt idx="373">
                  <c:v>3.4</c:v>
                </c:pt>
                <c:pt idx="374">
                  <c:v>3.4</c:v>
                </c:pt>
                <c:pt idx="375">
                  <c:v>2.5</c:v>
                </c:pt>
                <c:pt idx="376">
                  <c:v>2.5</c:v>
                </c:pt>
                <c:pt idx="377">
                  <c:v>2</c:v>
                </c:pt>
                <c:pt idx="378">
                  <c:v>2.5</c:v>
                </c:pt>
                <c:pt idx="379">
                  <c:v>3</c:v>
                </c:pt>
                <c:pt idx="380">
                  <c:v>3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2.5</c:v>
                </c:pt>
                <c:pt idx="385">
                  <c:v>3</c:v>
                </c:pt>
                <c:pt idx="386">
                  <c:v>2</c:v>
                </c:pt>
                <c:pt idx="387">
                  <c:v>2</c:v>
                </c:pt>
                <c:pt idx="388">
                  <c:v>2.7</c:v>
                </c:pt>
                <c:pt idx="389">
                  <c:v>2.7</c:v>
                </c:pt>
                <c:pt idx="390">
                  <c:v>2.4</c:v>
                </c:pt>
                <c:pt idx="391">
                  <c:v>2.4</c:v>
                </c:pt>
                <c:pt idx="392">
                  <c:v>2.5</c:v>
                </c:pt>
                <c:pt idx="393">
                  <c:v>3.5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3</c:v>
                </c:pt>
                <c:pt idx="398">
                  <c:v>3</c:v>
                </c:pt>
                <c:pt idx="399">
                  <c:v>2</c:v>
                </c:pt>
                <c:pt idx="400">
                  <c:v>2.4</c:v>
                </c:pt>
                <c:pt idx="401">
                  <c:v>2.4</c:v>
                </c:pt>
                <c:pt idx="402">
                  <c:v>2.4</c:v>
                </c:pt>
                <c:pt idx="403">
                  <c:v>2</c:v>
                </c:pt>
                <c:pt idx="404">
                  <c:v>2.4</c:v>
                </c:pt>
                <c:pt idx="405">
                  <c:v>2.4</c:v>
                </c:pt>
                <c:pt idx="406">
                  <c:v>2.4</c:v>
                </c:pt>
                <c:pt idx="407">
                  <c:v>2.4</c:v>
                </c:pt>
                <c:pt idx="408">
                  <c:v>3.5</c:v>
                </c:pt>
                <c:pt idx="409">
                  <c:v>2.7</c:v>
                </c:pt>
                <c:pt idx="410">
                  <c:v>3.5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2</c:v>
                </c:pt>
                <c:pt idx="415">
                  <c:v>2</c:v>
                </c:pt>
                <c:pt idx="416">
                  <c:v>2.4</c:v>
                </c:pt>
                <c:pt idx="417">
                  <c:v>2</c:v>
                </c:pt>
                <c:pt idx="418">
                  <c:v>1.6</c:v>
                </c:pt>
                <c:pt idx="419">
                  <c:v>2</c:v>
                </c:pt>
                <c:pt idx="420">
                  <c:v>2.4</c:v>
                </c:pt>
                <c:pt idx="421">
                  <c:v>3.4</c:v>
                </c:pt>
                <c:pt idx="422">
                  <c:v>3.4</c:v>
                </c:pt>
                <c:pt idx="423">
                  <c:v>2.5</c:v>
                </c:pt>
                <c:pt idx="424">
                  <c:v>2.5</c:v>
                </c:pt>
                <c:pt idx="425">
                  <c:v>2</c:v>
                </c:pt>
                <c:pt idx="426">
                  <c:v>2</c:v>
                </c:pt>
                <c:pt idx="427">
                  <c:v>2.4</c:v>
                </c:pt>
                <c:pt idx="428">
                  <c:v>3.6</c:v>
                </c:pt>
                <c:pt idx="429">
                  <c:v>2</c:v>
                </c:pt>
                <c:pt idx="430">
                  <c:v>3.7</c:v>
                </c:pt>
                <c:pt idx="431">
                  <c:v>3.7</c:v>
                </c:pt>
                <c:pt idx="432">
                  <c:v>2.4</c:v>
                </c:pt>
                <c:pt idx="433">
                  <c:v>2.4</c:v>
                </c:pt>
                <c:pt idx="434">
                  <c:v>2</c:v>
                </c:pt>
                <c:pt idx="435">
                  <c:v>2</c:v>
                </c:pt>
                <c:pt idx="436">
                  <c:v>3.5</c:v>
                </c:pt>
                <c:pt idx="437">
                  <c:v>3.5</c:v>
                </c:pt>
                <c:pt idx="438">
                  <c:v>3</c:v>
                </c:pt>
                <c:pt idx="439">
                  <c:v>3</c:v>
                </c:pt>
                <c:pt idx="440">
                  <c:v>2.7</c:v>
                </c:pt>
                <c:pt idx="441">
                  <c:v>2.7</c:v>
                </c:pt>
                <c:pt idx="442">
                  <c:v>3.2</c:v>
                </c:pt>
                <c:pt idx="443">
                  <c:v>2</c:v>
                </c:pt>
                <c:pt idx="444">
                  <c:v>2</c:v>
                </c:pt>
                <c:pt idx="445">
                  <c:v>3</c:v>
                </c:pt>
                <c:pt idx="446">
                  <c:v>3</c:v>
                </c:pt>
                <c:pt idx="447">
                  <c:v>3.6</c:v>
                </c:pt>
                <c:pt idx="448">
                  <c:v>3.6</c:v>
                </c:pt>
                <c:pt idx="449">
                  <c:v>3.6</c:v>
                </c:pt>
                <c:pt idx="450">
                  <c:v>2</c:v>
                </c:pt>
                <c:pt idx="451">
                  <c:v>2</c:v>
                </c:pt>
                <c:pt idx="452">
                  <c:v>3.5</c:v>
                </c:pt>
                <c:pt idx="453">
                  <c:v>2.4</c:v>
                </c:pt>
                <c:pt idx="454">
                  <c:v>3</c:v>
                </c:pt>
                <c:pt idx="455">
                  <c:v>2.4</c:v>
                </c:pt>
                <c:pt idx="456">
                  <c:v>3</c:v>
                </c:pt>
                <c:pt idx="457">
                  <c:v>3.4</c:v>
                </c:pt>
                <c:pt idx="458">
                  <c:v>2.7</c:v>
                </c:pt>
                <c:pt idx="459">
                  <c:v>3.5</c:v>
                </c:pt>
                <c:pt idx="460">
                  <c:v>2</c:v>
                </c:pt>
                <c:pt idx="461">
                  <c:v>2.5</c:v>
                </c:pt>
                <c:pt idx="462">
                  <c:v>3.5</c:v>
                </c:pt>
                <c:pt idx="463">
                  <c:v>2.5</c:v>
                </c:pt>
                <c:pt idx="464">
                  <c:v>3.5</c:v>
                </c:pt>
                <c:pt idx="465">
                  <c:v>3.5</c:v>
                </c:pt>
                <c:pt idx="466">
                  <c:v>3.5</c:v>
                </c:pt>
                <c:pt idx="467">
                  <c:v>3.4</c:v>
                </c:pt>
                <c:pt idx="468">
                  <c:v>3</c:v>
                </c:pt>
                <c:pt idx="469">
                  <c:v>3.4</c:v>
                </c:pt>
                <c:pt idx="470">
                  <c:v>3</c:v>
                </c:pt>
                <c:pt idx="471">
                  <c:v>2</c:v>
                </c:pt>
                <c:pt idx="472">
                  <c:v>3.6</c:v>
                </c:pt>
                <c:pt idx="473">
                  <c:v>3.6</c:v>
                </c:pt>
                <c:pt idx="474">
                  <c:v>3.6</c:v>
                </c:pt>
                <c:pt idx="475">
                  <c:v>3.6</c:v>
                </c:pt>
                <c:pt idx="476">
                  <c:v>2</c:v>
                </c:pt>
                <c:pt idx="477">
                  <c:v>2</c:v>
                </c:pt>
                <c:pt idx="478">
                  <c:v>3.2</c:v>
                </c:pt>
                <c:pt idx="479">
                  <c:v>3.5</c:v>
                </c:pt>
                <c:pt idx="480">
                  <c:v>3.5</c:v>
                </c:pt>
                <c:pt idx="481">
                  <c:v>3.5</c:v>
                </c:pt>
                <c:pt idx="482">
                  <c:v>3.5</c:v>
                </c:pt>
                <c:pt idx="483">
                  <c:v>3.4</c:v>
                </c:pt>
                <c:pt idx="484">
                  <c:v>3.5</c:v>
                </c:pt>
                <c:pt idx="485">
                  <c:v>3.6</c:v>
                </c:pt>
                <c:pt idx="486">
                  <c:v>2.4</c:v>
                </c:pt>
                <c:pt idx="487">
                  <c:v>2</c:v>
                </c:pt>
                <c:pt idx="488">
                  <c:v>3.7</c:v>
                </c:pt>
                <c:pt idx="489">
                  <c:v>3.7</c:v>
                </c:pt>
                <c:pt idx="490">
                  <c:v>3.5</c:v>
                </c:pt>
                <c:pt idx="491">
                  <c:v>2.4</c:v>
                </c:pt>
                <c:pt idx="492">
                  <c:v>3.5</c:v>
                </c:pt>
                <c:pt idx="493">
                  <c:v>3</c:v>
                </c:pt>
                <c:pt idx="494">
                  <c:v>3.5</c:v>
                </c:pt>
                <c:pt idx="495">
                  <c:v>3.5</c:v>
                </c:pt>
                <c:pt idx="496">
                  <c:v>3.5</c:v>
                </c:pt>
                <c:pt idx="497">
                  <c:v>3.5</c:v>
                </c:pt>
                <c:pt idx="498">
                  <c:v>3.8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2</c:v>
                </c:pt>
                <c:pt idx="503">
                  <c:v>2.4</c:v>
                </c:pt>
                <c:pt idx="504">
                  <c:v>3.5</c:v>
                </c:pt>
                <c:pt idx="505">
                  <c:v>2.4</c:v>
                </c:pt>
                <c:pt idx="506">
                  <c:v>5.5</c:v>
                </c:pt>
                <c:pt idx="507">
                  <c:v>3.4</c:v>
                </c:pt>
                <c:pt idx="508">
                  <c:v>3.4</c:v>
                </c:pt>
                <c:pt idx="509">
                  <c:v>3.4</c:v>
                </c:pt>
                <c:pt idx="510">
                  <c:v>3.8</c:v>
                </c:pt>
                <c:pt idx="511">
                  <c:v>2</c:v>
                </c:pt>
                <c:pt idx="512">
                  <c:v>2</c:v>
                </c:pt>
                <c:pt idx="513">
                  <c:v>3.6</c:v>
                </c:pt>
                <c:pt idx="514">
                  <c:v>2</c:v>
                </c:pt>
                <c:pt idx="515">
                  <c:v>3.5</c:v>
                </c:pt>
                <c:pt idx="516">
                  <c:v>3.7</c:v>
                </c:pt>
                <c:pt idx="517">
                  <c:v>3.2</c:v>
                </c:pt>
                <c:pt idx="518">
                  <c:v>3.8</c:v>
                </c:pt>
                <c:pt idx="519">
                  <c:v>3.8</c:v>
                </c:pt>
                <c:pt idx="520">
                  <c:v>3.6</c:v>
                </c:pt>
                <c:pt idx="521">
                  <c:v>3</c:v>
                </c:pt>
                <c:pt idx="522">
                  <c:v>3</c:v>
                </c:pt>
                <c:pt idx="523">
                  <c:v>3.6</c:v>
                </c:pt>
                <c:pt idx="524">
                  <c:v>3.6</c:v>
                </c:pt>
                <c:pt idx="525">
                  <c:v>3.6</c:v>
                </c:pt>
                <c:pt idx="526">
                  <c:v>3.6</c:v>
                </c:pt>
                <c:pt idx="527">
                  <c:v>3.6</c:v>
                </c:pt>
                <c:pt idx="528">
                  <c:v>3.5</c:v>
                </c:pt>
                <c:pt idx="529">
                  <c:v>2.4</c:v>
                </c:pt>
                <c:pt idx="530">
                  <c:v>3.3</c:v>
                </c:pt>
                <c:pt idx="531">
                  <c:v>3.5</c:v>
                </c:pt>
                <c:pt idx="532">
                  <c:v>3.8</c:v>
                </c:pt>
                <c:pt idx="533">
                  <c:v>3</c:v>
                </c:pt>
                <c:pt idx="534">
                  <c:v>3.6</c:v>
                </c:pt>
                <c:pt idx="535">
                  <c:v>2.7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3.7</c:v>
                </c:pt>
                <c:pt idx="540">
                  <c:v>3.5</c:v>
                </c:pt>
                <c:pt idx="541">
                  <c:v>3.2</c:v>
                </c:pt>
                <c:pt idx="542">
                  <c:v>2.4</c:v>
                </c:pt>
                <c:pt idx="543">
                  <c:v>3.5</c:v>
                </c:pt>
                <c:pt idx="544">
                  <c:v>3.5</c:v>
                </c:pt>
                <c:pt idx="545">
                  <c:v>3.7</c:v>
                </c:pt>
                <c:pt idx="546">
                  <c:v>3.5</c:v>
                </c:pt>
                <c:pt idx="547">
                  <c:v>3.4</c:v>
                </c:pt>
                <c:pt idx="548">
                  <c:v>3.8</c:v>
                </c:pt>
                <c:pt idx="549">
                  <c:v>3.8</c:v>
                </c:pt>
                <c:pt idx="550">
                  <c:v>3.5</c:v>
                </c:pt>
                <c:pt idx="551">
                  <c:v>3.5</c:v>
                </c:pt>
                <c:pt idx="552">
                  <c:v>3.7</c:v>
                </c:pt>
                <c:pt idx="553">
                  <c:v>3</c:v>
                </c:pt>
                <c:pt idx="554">
                  <c:v>3</c:v>
                </c:pt>
                <c:pt idx="555">
                  <c:v>2.4</c:v>
                </c:pt>
                <c:pt idx="556">
                  <c:v>3.8</c:v>
                </c:pt>
                <c:pt idx="557">
                  <c:v>2.4</c:v>
                </c:pt>
                <c:pt idx="558">
                  <c:v>3.7</c:v>
                </c:pt>
                <c:pt idx="559">
                  <c:v>2.4</c:v>
                </c:pt>
                <c:pt idx="560">
                  <c:v>2.4</c:v>
                </c:pt>
                <c:pt idx="561">
                  <c:v>3.5</c:v>
                </c:pt>
                <c:pt idx="562">
                  <c:v>3.5</c:v>
                </c:pt>
                <c:pt idx="563">
                  <c:v>3.6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3.6</c:v>
                </c:pt>
                <c:pt idx="569">
                  <c:v>3.6</c:v>
                </c:pt>
                <c:pt idx="570">
                  <c:v>6.2</c:v>
                </c:pt>
                <c:pt idx="571">
                  <c:v>3.6</c:v>
                </c:pt>
                <c:pt idx="572">
                  <c:v>3.6</c:v>
                </c:pt>
                <c:pt idx="573">
                  <c:v>3.6</c:v>
                </c:pt>
                <c:pt idx="574">
                  <c:v>3.5</c:v>
                </c:pt>
                <c:pt idx="575">
                  <c:v>3.3</c:v>
                </c:pt>
                <c:pt idx="576">
                  <c:v>3.8</c:v>
                </c:pt>
                <c:pt idx="577">
                  <c:v>2.5</c:v>
                </c:pt>
                <c:pt idx="578">
                  <c:v>2.5</c:v>
                </c:pt>
                <c:pt idx="579">
                  <c:v>3.5</c:v>
                </c:pt>
                <c:pt idx="580">
                  <c:v>3.2</c:v>
                </c:pt>
                <c:pt idx="581">
                  <c:v>4</c:v>
                </c:pt>
                <c:pt idx="582">
                  <c:v>3</c:v>
                </c:pt>
                <c:pt idx="583">
                  <c:v>3.6</c:v>
                </c:pt>
                <c:pt idx="584">
                  <c:v>3.6</c:v>
                </c:pt>
                <c:pt idx="585">
                  <c:v>3.6</c:v>
                </c:pt>
                <c:pt idx="586">
                  <c:v>2.4</c:v>
                </c:pt>
                <c:pt idx="587">
                  <c:v>3.7</c:v>
                </c:pt>
                <c:pt idx="588">
                  <c:v>3.5</c:v>
                </c:pt>
                <c:pt idx="589">
                  <c:v>2.5</c:v>
                </c:pt>
                <c:pt idx="590">
                  <c:v>3</c:v>
                </c:pt>
                <c:pt idx="591">
                  <c:v>3</c:v>
                </c:pt>
                <c:pt idx="592">
                  <c:v>3.6</c:v>
                </c:pt>
                <c:pt idx="593">
                  <c:v>3.5</c:v>
                </c:pt>
                <c:pt idx="594">
                  <c:v>3.5</c:v>
                </c:pt>
                <c:pt idx="595">
                  <c:v>3.2</c:v>
                </c:pt>
                <c:pt idx="596">
                  <c:v>3</c:v>
                </c:pt>
                <c:pt idx="597">
                  <c:v>3</c:v>
                </c:pt>
                <c:pt idx="598">
                  <c:v>3.6</c:v>
                </c:pt>
                <c:pt idx="599">
                  <c:v>3.6</c:v>
                </c:pt>
                <c:pt idx="600">
                  <c:v>3.6</c:v>
                </c:pt>
                <c:pt idx="601">
                  <c:v>3.3</c:v>
                </c:pt>
                <c:pt idx="602">
                  <c:v>2</c:v>
                </c:pt>
                <c:pt idx="603">
                  <c:v>5</c:v>
                </c:pt>
                <c:pt idx="604">
                  <c:v>3.7</c:v>
                </c:pt>
                <c:pt idx="605">
                  <c:v>4.7</c:v>
                </c:pt>
                <c:pt idx="606">
                  <c:v>3.7</c:v>
                </c:pt>
                <c:pt idx="607">
                  <c:v>3.6</c:v>
                </c:pt>
                <c:pt idx="608">
                  <c:v>3.6</c:v>
                </c:pt>
                <c:pt idx="609">
                  <c:v>3.6</c:v>
                </c:pt>
                <c:pt idx="610">
                  <c:v>3.5</c:v>
                </c:pt>
                <c:pt idx="611">
                  <c:v>3.5</c:v>
                </c:pt>
                <c:pt idx="612">
                  <c:v>5</c:v>
                </c:pt>
                <c:pt idx="613">
                  <c:v>3.5</c:v>
                </c:pt>
                <c:pt idx="614">
                  <c:v>2</c:v>
                </c:pt>
                <c:pt idx="615">
                  <c:v>3.7</c:v>
                </c:pt>
                <c:pt idx="616">
                  <c:v>4.7</c:v>
                </c:pt>
                <c:pt idx="617">
                  <c:v>3.7</c:v>
                </c:pt>
                <c:pt idx="618">
                  <c:v>3</c:v>
                </c:pt>
                <c:pt idx="619">
                  <c:v>3.5</c:v>
                </c:pt>
                <c:pt idx="620">
                  <c:v>3</c:v>
                </c:pt>
                <c:pt idx="621">
                  <c:v>3</c:v>
                </c:pt>
                <c:pt idx="622">
                  <c:v>3.2</c:v>
                </c:pt>
                <c:pt idx="623">
                  <c:v>3.7</c:v>
                </c:pt>
                <c:pt idx="624">
                  <c:v>3</c:v>
                </c:pt>
                <c:pt idx="625">
                  <c:v>3.3</c:v>
                </c:pt>
                <c:pt idx="626">
                  <c:v>3.7</c:v>
                </c:pt>
                <c:pt idx="627">
                  <c:v>3.7</c:v>
                </c:pt>
                <c:pt idx="628">
                  <c:v>3.2</c:v>
                </c:pt>
                <c:pt idx="629">
                  <c:v>4.7</c:v>
                </c:pt>
                <c:pt idx="630">
                  <c:v>2</c:v>
                </c:pt>
                <c:pt idx="631">
                  <c:v>3.6</c:v>
                </c:pt>
                <c:pt idx="632">
                  <c:v>2</c:v>
                </c:pt>
                <c:pt idx="633">
                  <c:v>3.6</c:v>
                </c:pt>
                <c:pt idx="634">
                  <c:v>3.7</c:v>
                </c:pt>
                <c:pt idx="635">
                  <c:v>3.5</c:v>
                </c:pt>
                <c:pt idx="636">
                  <c:v>4.7</c:v>
                </c:pt>
                <c:pt idx="637">
                  <c:v>4.7</c:v>
                </c:pt>
                <c:pt idx="638">
                  <c:v>3.7</c:v>
                </c:pt>
                <c:pt idx="639">
                  <c:v>3.6</c:v>
                </c:pt>
                <c:pt idx="640">
                  <c:v>3.6</c:v>
                </c:pt>
                <c:pt idx="641">
                  <c:v>4.3</c:v>
                </c:pt>
                <c:pt idx="642">
                  <c:v>3.6</c:v>
                </c:pt>
                <c:pt idx="643">
                  <c:v>3.5</c:v>
                </c:pt>
                <c:pt idx="644">
                  <c:v>4.3</c:v>
                </c:pt>
                <c:pt idx="645">
                  <c:v>3.7</c:v>
                </c:pt>
                <c:pt idx="646">
                  <c:v>3.3</c:v>
                </c:pt>
                <c:pt idx="647">
                  <c:v>3.5</c:v>
                </c:pt>
                <c:pt idx="648">
                  <c:v>3.5</c:v>
                </c:pt>
                <c:pt idx="649">
                  <c:v>2.7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3.5</c:v>
                </c:pt>
                <c:pt idx="654">
                  <c:v>2</c:v>
                </c:pt>
                <c:pt idx="655">
                  <c:v>3.8</c:v>
                </c:pt>
                <c:pt idx="656">
                  <c:v>3.8</c:v>
                </c:pt>
                <c:pt idx="657">
                  <c:v>3.8</c:v>
                </c:pt>
                <c:pt idx="658">
                  <c:v>3.8</c:v>
                </c:pt>
                <c:pt idx="659">
                  <c:v>3.6</c:v>
                </c:pt>
                <c:pt idx="660">
                  <c:v>2.7</c:v>
                </c:pt>
                <c:pt idx="661">
                  <c:v>6.2</c:v>
                </c:pt>
                <c:pt idx="662">
                  <c:v>3.6</c:v>
                </c:pt>
                <c:pt idx="663">
                  <c:v>3.6</c:v>
                </c:pt>
                <c:pt idx="664">
                  <c:v>3.6</c:v>
                </c:pt>
                <c:pt idx="665">
                  <c:v>3.6</c:v>
                </c:pt>
                <c:pt idx="666">
                  <c:v>3.5</c:v>
                </c:pt>
                <c:pt idx="667">
                  <c:v>3.5</c:v>
                </c:pt>
                <c:pt idx="668">
                  <c:v>3</c:v>
                </c:pt>
                <c:pt idx="669">
                  <c:v>4.7</c:v>
                </c:pt>
                <c:pt idx="670">
                  <c:v>3.6</c:v>
                </c:pt>
                <c:pt idx="671">
                  <c:v>3</c:v>
                </c:pt>
                <c:pt idx="672">
                  <c:v>3</c:v>
                </c:pt>
                <c:pt idx="673">
                  <c:v>3.6</c:v>
                </c:pt>
                <c:pt idx="674">
                  <c:v>3.5</c:v>
                </c:pt>
                <c:pt idx="675">
                  <c:v>3.6</c:v>
                </c:pt>
                <c:pt idx="676">
                  <c:v>3.5</c:v>
                </c:pt>
                <c:pt idx="677">
                  <c:v>4.7</c:v>
                </c:pt>
                <c:pt idx="678">
                  <c:v>3.6</c:v>
                </c:pt>
                <c:pt idx="679">
                  <c:v>4</c:v>
                </c:pt>
                <c:pt idx="680">
                  <c:v>4</c:v>
                </c:pt>
                <c:pt idx="681">
                  <c:v>4.4000000000000004</c:v>
                </c:pt>
                <c:pt idx="682">
                  <c:v>4.4000000000000004</c:v>
                </c:pt>
                <c:pt idx="683">
                  <c:v>2</c:v>
                </c:pt>
                <c:pt idx="684">
                  <c:v>3.7</c:v>
                </c:pt>
                <c:pt idx="685">
                  <c:v>3</c:v>
                </c:pt>
                <c:pt idx="686">
                  <c:v>3.7</c:v>
                </c:pt>
                <c:pt idx="687">
                  <c:v>3.7</c:v>
                </c:pt>
                <c:pt idx="688">
                  <c:v>3.6</c:v>
                </c:pt>
                <c:pt idx="689">
                  <c:v>3.6</c:v>
                </c:pt>
                <c:pt idx="690">
                  <c:v>3.6</c:v>
                </c:pt>
                <c:pt idx="691">
                  <c:v>3.6</c:v>
                </c:pt>
                <c:pt idx="692">
                  <c:v>3.7</c:v>
                </c:pt>
                <c:pt idx="693">
                  <c:v>3.7</c:v>
                </c:pt>
                <c:pt idx="694">
                  <c:v>3.6</c:v>
                </c:pt>
                <c:pt idx="695">
                  <c:v>3.7</c:v>
                </c:pt>
                <c:pt idx="696">
                  <c:v>5.6</c:v>
                </c:pt>
                <c:pt idx="697">
                  <c:v>3</c:v>
                </c:pt>
                <c:pt idx="698">
                  <c:v>3</c:v>
                </c:pt>
                <c:pt idx="699">
                  <c:v>4.5999999999999996</c:v>
                </c:pt>
                <c:pt idx="700">
                  <c:v>3.7</c:v>
                </c:pt>
                <c:pt idx="701">
                  <c:v>2</c:v>
                </c:pt>
                <c:pt idx="702">
                  <c:v>2.5</c:v>
                </c:pt>
                <c:pt idx="703">
                  <c:v>3.6</c:v>
                </c:pt>
                <c:pt idx="704">
                  <c:v>3</c:v>
                </c:pt>
                <c:pt idx="705">
                  <c:v>3</c:v>
                </c:pt>
                <c:pt idx="706">
                  <c:v>3.6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3.5</c:v>
                </c:pt>
                <c:pt idx="712">
                  <c:v>4</c:v>
                </c:pt>
                <c:pt idx="713">
                  <c:v>3.5</c:v>
                </c:pt>
                <c:pt idx="714">
                  <c:v>2</c:v>
                </c:pt>
                <c:pt idx="715">
                  <c:v>2.5</c:v>
                </c:pt>
                <c:pt idx="716">
                  <c:v>2.5</c:v>
                </c:pt>
                <c:pt idx="717">
                  <c:v>4</c:v>
                </c:pt>
                <c:pt idx="718">
                  <c:v>3.6</c:v>
                </c:pt>
                <c:pt idx="719">
                  <c:v>3.6</c:v>
                </c:pt>
                <c:pt idx="720">
                  <c:v>3.6</c:v>
                </c:pt>
                <c:pt idx="721">
                  <c:v>4.3</c:v>
                </c:pt>
                <c:pt idx="722">
                  <c:v>3.6</c:v>
                </c:pt>
                <c:pt idx="723">
                  <c:v>4.3</c:v>
                </c:pt>
                <c:pt idx="724">
                  <c:v>3.6</c:v>
                </c:pt>
                <c:pt idx="725">
                  <c:v>5</c:v>
                </c:pt>
                <c:pt idx="726">
                  <c:v>5</c:v>
                </c:pt>
                <c:pt idx="727">
                  <c:v>3.7</c:v>
                </c:pt>
                <c:pt idx="728">
                  <c:v>3.6</c:v>
                </c:pt>
                <c:pt idx="729">
                  <c:v>3</c:v>
                </c:pt>
                <c:pt idx="730">
                  <c:v>4.4000000000000004</c:v>
                </c:pt>
                <c:pt idx="731">
                  <c:v>4.4000000000000004</c:v>
                </c:pt>
                <c:pt idx="732">
                  <c:v>4.4000000000000004</c:v>
                </c:pt>
                <c:pt idx="733">
                  <c:v>4.4000000000000004</c:v>
                </c:pt>
                <c:pt idx="734">
                  <c:v>4.4000000000000004</c:v>
                </c:pt>
                <c:pt idx="735">
                  <c:v>4.4000000000000004</c:v>
                </c:pt>
                <c:pt idx="736">
                  <c:v>4.4000000000000004</c:v>
                </c:pt>
                <c:pt idx="737">
                  <c:v>6.2</c:v>
                </c:pt>
                <c:pt idx="738">
                  <c:v>5.3</c:v>
                </c:pt>
                <c:pt idx="739">
                  <c:v>3.5</c:v>
                </c:pt>
                <c:pt idx="740">
                  <c:v>5</c:v>
                </c:pt>
                <c:pt idx="741">
                  <c:v>5.3</c:v>
                </c:pt>
                <c:pt idx="742">
                  <c:v>3</c:v>
                </c:pt>
                <c:pt idx="743">
                  <c:v>3</c:v>
                </c:pt>
                <c:pt idx="744">
                  <c:v>5.5</c:v>
                </c:pt>
                <c:pt idx="745">
                  <c:v>4</c:v>
                </c:pt>
                <c:pt idx="746">
                  <c:v>4.8</c:v>
                </c:pt>
                <c:pt idx="747">
                  <c:v>3.6</c:v>
                </c:pt>
                <c:pt idx="748">
                  <c:v>3.6</c:v>
                </c:pt>
                <c:pt idx="749">
                  <c:v>6.2</c:v>
                </c:pt>
                <c:pt idx="750">
                  <c:v>5.7</c:v>
                </c:pt>
                <c:pt idx="751">
                  <c:v>5.7</c:v>
                </c:pt>
                <c:pt idx="752">
                  <c:v>5.7</c:v>
                </c:pt>
                <c:pt idx="753">
                  <c:v>3.5</c:v>
                </c:pt>
                <c:pt idx="754">
                  <c:v>3.5</c:v>
                </c:pt>
                <c:pt idx="755">
                  <c:v>5.6</c:v>
                </c:pt>
                <c:pt idx="756">
                  <c:v>3.7</c:v>
                </c:pt>
                <c:pt idx="757">
                  <c:v>5</c:v>
                </c:pt>
                <c:pt idx="758">
                  <c:v>3.6</c:v>
                </c:pt>
                <c:pt idx="759">
                  <c:v>3.6</c:v>
                </c:pt>
                <c:pt idx="760">
                  <c:v>3.5</c:v>
                </c:pt>
                <c:pt idx="761">
                  <c:v>4.8</c:v>
                </c:pt>
                <c:pt idx="762">
                  <c:v>3.2</c:v>
                </c:pt>
                <c:pt idx="763">
                  <c:v>4</c:v>
                </c:pt>
                <c:pt idx="764">
                  <c:v>4</c:v>
                </c:pt>
                <c:pt idx="765">
                  <c:v>3.6</c:v>
                </c:pt>
                <c:pt idx="766">
                  <c:v>4.5999999999999996</c:v>
                </c:pt>
                <c:pt idx="767">
                  <c:v>4.5999999999999996</c:v>
                </c:pt>
                <c:pt idx="768">
                  <c:v>5.5</c:v>
                </c:pt>
                <c:pt idx="769">
                  <c:v>5.5</c:v>
                </c:pt>
                <c:pt idx="770">
                  <c:v>3.8</c:v>
                </c:pt>
                <c:pt idx="771">
                  <c:v>4.8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5.3</c:v>
                </c:pt>
                <c:pt idx="776">
                  <c:v>3.5</c:v>
                </c:pt>
                <c:pt idx="777">
                  <c:v>5.3</c:v>
                </c:pt>
                <c:pt idx="778">
                  <c:v>4.8</c:v>
                </c:pt>
                <c:pt idx="779">
                  <c:v>5.7</c:v>
                </c:pt>
                <c:pt idx="780">
                  <c:v>5</c:v>
                </c:pt>
                <c:pt idx="781">
                  <c:v>3</c:v>
                </c:pt>
                <c:pt idx="782">
                  <c:v>5.5</c:v>
                </c:pt>
                <c:pt idx="783">
                  <c:v>5.5</c:v>
                </c:pt>
                <c:pt idx="784">
                  <c:v>4</c:v>
                </c:pt>
                <c:pt idx="785">
                  <c:v>3.6</c:v>
                </c:pt>
                <c:pt idx="786">
                  <c:v>4</c:v>
                </c:pt>
                <c:pt idx="787">
                  <c:v>3</c:v>
                </c:pt>
                <c:pt idx="788">
                  <c:v>5.8</c:v>
                </c:pt>
                <c:pt idx="789">
                  <c:v>5</c:v>
                </c:pt>
                <c:pt idx="790">
                  <c:v>4.7</c:v>
                </c:pt>
                <c:pt idx="791">
                  <c:v>5.5</c:v>
                </c:pt>
                <c:pt idx="792">
                  <c:v>4.2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4</c:v>
                </c:pt>
                <c:pt idx="800">
                  <c:v>4.2</c:v>
                </c:pt>
                <c:pt idx="801">
                  <c:v>5.7</c:v>
                </c:pt>
                <c:pt idx="802">
                  <c:v>5.7</c:v>
                </c:pt>
                <c:pt idx="803">
                  <c:v>3.5</c:v>
                </c:pt>
                <c:pt idx="804">
                  <c:v>3.7</c:v>
                </c:pt>
                <c:pt idx="805">
                  <c:v>3.7</c:v>
                </c:pt>
                <c:pt idx="806">
                  <c:v>3.5</c:v>
                </c:pt>
                <c:pt idx="807">
                  <c:v>3.6</c:v>
                </c:pt>
                <c:pt idx="808">
                  <c:v>3.6</c:v>
                </c:pt>
                <c:pt idx="809">
                  <c:v>5.5</c:v>
                </c:pt>
                <c:pt idx="810">
                  <c:v>5</c:v>
                </c:pt>
                <c:pt idx="811">
                  <c:v>5</c:v>
                </c:pt>
                <c:pt idx="812">
                  <c:v>5.5</c:v>
                </c:pt>
                <c:pt idx="813">
                  <c:v>5.5</c:v>
                </c:pt>
                <c:pt idx="814">
                  <c:v>4</c:v>
                </c:pt>
                <c:pt idx="815">
                  <c:v>3.6</c:v>
                </c:pt>
                <c:pt idx="816">
                  <c:v>5.7</c:v>
                </c:pt>
                <c:pt idx="817">
                  <c:v>5</c:v>
                </c:pt>
                <c:pt idx="818">
                  <c:v>5</c:v>
                </c:pt>
                <c:pt idx="819">
                  <c:v>4</c:v>
                </c:pt>
                <c:pt idx="820">
                  <c:v>4</c:v>
                </c:pt>
                <c:pt idx="821">
                  <c:v>4.8</c:v>
                </c:pt>
                <c:pt idx="822">
                  <c:v>4.4000000000000004</c:v>
                </c:pt>
                <c:pt idx="823">
                  <c:v>4.4000000000000004</c:v>
                </c:pt>
                <c:pt idx="824">
                  <c:v>4.4000000000000004</c:v>
                </c:pt>
                <c:pt idx="825">
                  <c:v>4.4000000000000004</c:v>
                </c:pt>
                <c:pt idx="826">
                  <c:v>5.3</c:v>
                </c:pt>
                <c:pt idx="827">
                  <c:v>5.3</c:v>
                </c:pt>
                <c:pt idx="828">
                  <c:v>5.3</c:v>
                </c:pt>
                <c:pt idx="829">
                  <c:v>5.3</c:v>
                </c:pt>
                <c:pt idx="830">
                  <c:v>6.4</c:v>
                </c:pt>
                <c:pt idx="831">
                  <c:v>6.4</c:v>
                </c:pt>
                <c:pt idx="832">
                  <c:v>6.4</c:v>
                </c:pt>
                <c:pt idx="833">
                  <c:v>3.5</c:v>
                </c:pt>
                <c:pt idx="834">
                  <c:v>5.3</c:v>
                </c:pt>
                <c:pt idx="835">
                  <c:v>5.3</c:v>
                </c:pt>
                <c:pt idx="836">
                  <c:v>5.3</c:v>
                </c:pt>
                <c:pt idx="837">
                  <c:v>5.3</c:v>
                </c:pt>
                <c:pt idx="838">
                  <c:v>4</c:v>
                </c:pt>
                <c:pt idx="839">
                  <c:v>4.4000000000000004</c:v>
                </c:pt>
                <c:pt idx="840">
                  <c:v>3.6</c:v>
                </c:pt>
                <c:pt idx="841">
                  <c:v>6.4</c:v>
                </c:pt>
                <c:pt idx="842">
                  <c:v>3.6</c:v>
                </c:pt>
                <c:pt idx="843">
                  <c:v>4.5999999999999996</c:v>
                </c:pt>
                <c:pt idx="844">
                  <c:v>4.8</c:v>
                </c:pt>
                <c:pt idx="845">
                  <c:v>4</c:v>
                </c:pt>
                <c:pt idx="846">
                  <c:v>4</c:v>
                </c:pt>
                <c:pt idx="847">
                  <c:v>3.5</c:v>
                </c:pt>
                <c:pt idx="848">
                  <c:v>3.8</c:v>
                </c:pt>
                <c:pt idx="849">
                  <c:v>4</c:v>
                </c:pt>
                <c:pt idx="850">
                  <c:v>4.4000000000000004</c:v>
                </c:pt>
                <c:pt idx="851">
                  <c:v>6.2</c:v>
                </c:pt>
                <c:pt idx="852">
                  <c:v>6.2</c:v>
                </c:pt>
                <c:pt idx="853">
                  <c:v>5.7</c:v>
                </c:pt>
                <c:pt idx="854">
                  <c:v>4.7</c:v>
                </c:pt>
                <c:pt idx="855">
                  <c:v>6</c:v>
                </c:pt>
                <c:pt idx="856">
                  <c:v>4</c:v>
                </c:pt>
                <c:pt idx="857">
                  <c:v>3.6</c:v>
                </c:pt>
                <c:pt idx="858">
                  <c:v>6.2</c:v>
                </c:pt>
                <c:pt idx="859">
                  <c:v>3.5</c:v>
                </c:pt>
                <c:pt idx="860">
                  <c:v>6.2</c:v>
                </c:pt>
                <c:pt idx="861">
                  <c:v>4.5999999999999996</c:v>
                </c:pt>
                <c:pt idx="862">
                  <c:v>3.6</c:v>
                </c:pt>
                <c:pt idx="863">
                  <c:v>3.6</c:v>
                </c:pt>
                <c:pt idx="864">
                  <c:v>3.6</c:v>
                </c:pt>
                <c:pt idx="865">
                  <c:v>5.7</c:v>
                </c:pt>
                <c:pt idx="866">
                  <c:v>5</c:v>
                </c:pt>
                <c:pt idx="867">
                  <c:v>3</c:v>
                </c:pt>
                <c:pt idx="868">
                  <c:v>3.8</c:v>
                </c:pt>
                <c:pt idx="869">
                  <c:v>4.2</c:v>
                </c:pt>
                <c:pt idx="870">
                  <c:v>4.2</c:v>
                </c:pt>
                <c:pt idx="871">
                  <c:v>5</c:v>
                </c:pt>
                <c:pt idx="872">
                  <c:v>5</c:v>
                </c:pt>
                <c:pt idx="873">
                  <c:v>4.7</c:v>
                </c:pt>
                <c:pt idx="874">
                  <c:v>4.7</c:v>
                </c:pt>
                <c:pt idx="875">
                  <c:v>4.4000000000000004</c:v>
                </c:pt>
                <c:pt idx="876">
                  <c:v>4.4000000000000004</c:v>
                </c:pt>
                <c:pt idx="877">
                  <c:v>4.4000000000000004</c:v>
                </c:pt>
                <c:pt idx="878">
                  <c:v>4.4000000000000004</c:v>
                </c:pt>
                <c:pt idx="879">
                  <c:v>6.2</c:v>
                </c:pt>
                <c:pt idx="880">
                  <c:v>6.2</c:v>
                </c:pt>
                <c:pt idx="881">
                  <c:v>5</c:v>
                </c:pt>
                <c:pt idx="882">
                  <c:v>6.2</c:v>
                </c:pt>
                <c:pt idx="883">
                  <c:v>6.2</c:v>
                </c:pt>
                <c:pt idx="884">
                  <c:v>6.2</c:v>
                </c:pt>
                <c:pt idx="885">
                  <c:v>6.2</c:v>
                </c:pt>
                <c:pt idx="886">
                  <c:v>3.6</c:v>
                </c:pt>
                <c:pt idx="887">
                  <c:v>3.6</c:v>
                </c:pt>
                <c:pt idx="888">
                  <c:v>5</c:v>
                </c:pt>
                <c:pt idx="889">
                  <c:v>5.7</c:v>
                </c:pt>
                <c:pt idx="890">
                  <c:v>5.7</c:v>
                </c:pt>
                <c:pt idx="891">
                  <c:v>5</c:v>
                </c:pt>
                <c:pt idx="892">
                  <c:v>5.6</c:v>
                </c:pt>
                <c:pt idx="893">
                  <c:v>5</c:v>
                </c:pt>
                <c:pt idx="894">
                  <c:v>4.3</c:v>
                </c:pt>
                <c:pt idx="895">
                  <c:v>4.3</c:v>
                </c:pt>
                <c:pt idx="896">
                  <c:v>5</c:v>
                </c:pt>
                <c:pt idx="897">
                  <c:v>5</c:v>
                </c:pt>
                <c:pt idx="898">
                  <c:v>4.7</c:v>
                </c:pt>
                <c:pt idx="899">
                  <c:v>6.2</c:v>
                </c:pt>
                <c:pt idx="900">
                  <c:v>4.5999999999999996</c:v>
                </c:pt>
                <c:pt idx="901">
                  <c:v>4.7</c:v>
                </c:pt>
                <c:pt idx="902">
                  <c:v>4.7</c:v>
                </c:pt>
                <c:pt idx="903">
                  <c:v>6.2</c:v>
                </c:pt>
                <c:pt idx="904">
                  <c:v>4.7</c:v>
                </c:pt>
                <c:pt idx="905">
                  <c:v>4.7</c:v>
                </c:pt>
                <c:pt idx="906">
                  <c:v>5.2</c:v>
                </c:pt>
                <c:pt idx="907">
                  <c:v>5.2</c:v>
                </c:pt>
                <c:pt idx="908">
                  <c:v>5</c:v>
                </c:pt>
                <c:pt idx="909">
                  <c:v>5</c:v>
                </c:pt>
                <c:pt idx="910">
                  <c:v>5.7</c:v>
                </c:pt>
                <c:pt idx="911">
                  <c:v>6</c:v>
                </c:pt>
                <c:pt idx="912">
                  <c:v>6</c:v>
                </c:pt>
                <c:pt idx="913">
                  <c:v>5.5</c:v>
                </c:pt>
                <c:pt idx="914">
                  <c:v>5.7</c:v>
                </c:pt>
                <c:pt idx="915">
                  <c:v>5.9</c:v>
                </c:pt>
                <c:pt idx="916">
                  <c:v>5.9</c:v>
                </c:pt>
                <c:pt idx="917">
                  <c:v>5.9</c:v>
                </c:pt>
                <c:pt idx="918">
                  <c:v>3.6</c:v>
                </c:pt>
                <c:pt idx="919">
                  <c:v>3.6</c:v>
                </c:pt>
                <c:pt idx="920">
                  <c:v>3.6</c:v>
                </c:pt>
                <c:pt idx="921">
                  <c:v>4.7</c:v>
                </c:pt>
                <c:pt idx="922">
                  <c:v>5.6</c:v>
                </c:pt>
                <c:pt idx="923">
                  <c:v>6.6</c:v>
                </c:pt>
                <c:pt idx="924">
                  <c:v>6.3</c:v>
                </c:pt>
                <c:pt idx="925">
                  <c:v>3.6</c:v>
                </c:pt>
                <c:pt idx="926">
                  <c:v>3.5</c:v>
                </c:pt>
                <c:pt idx="927">
                  <c:v>5.2</c:v>
                </c:pt>
                <c:pt idx="928">
                  <c:v>6.2</c:v>
                </c:pt>
                <c:pt idx="929">
                  <c:v>6.2</c:v>
                </c:pt>
                <c:pt idx="930">
                  <c:v>6.4</c:v>
                </c:pt>
                <c:pt idx="931">
                  <c:v>5.5</c:v>
                </c:pt>
                <c:pt idx="932">
                  <c:v>5.3</c:v>
                </c:pt>
                <c:pt idx="933">
                  <c:v>3.5</c:v>
                </c:pt>
                <c:pt idx="934">
                  <c:v>6.2</c:v>
                </c:pt>
                <c:pt idx="935">
                  <c:v>5.3</c:v>
                </c:pt>
                <c:pt idx="936">
                  <c:v>3.6</c:v>
                </c:pt>
                <c:pt idx="937">
                  <c:v>5.4</c:v>
                </c:pt>
                <c:pt idx="938">
                  <c:v>5.4</c:v>
                </c:pt>
                <c:pt idx="939">
                  <c:v>3.5</c:v>
                </c:pt>
                <c:pt idx="940">
                  <c:v>6.6</c:v>
                </c:pt>
                <c:pt idx="941">
                  <c:v>6.6</c:v>
                </c:pt>
                <c:pt idx="942">
                  <c:v>4.4000000000000004</c:v>
                </c:pt>
                <c:pt idx="943">
                  <c:v>3.6</c:v>
                </c:pt>
                <c:pt idx="944">
                  <c:v>3.6</c:v>
                </c:pt>
                <c:pt idx="945">
                  <c:v>4.5999999999999996</c:v>
                </c:pt>
                <c:pt idx="946">
                  <c:v>3.6</c:v>
                </c:pt>
                <c:pt idx="947">
                  <c:v>5.7</c:v>
                </c:pt>
                <c:pt idx="948">
                  <c:v>6.2</c:v>
                </c:pt>
                <c:pt idx="949">
                  <c:v>6.2</c:v>
                </c:pt>
                <c:pt idx="950">
                  <c:v>6</c:v>
                </c:pt>
                <c:pt idx="951">
                  <c:v>6</c:v>
                </c:pt>
                <c:pt idx="952">
                  <c:v>6</c:v>
                </c:pt>
                <c:pt idx="953">
                  <c:v>3.6</c:v>
                </c:pt>
                <c:pt idx="954">
                  <c:v>5.3</c:v>
                </c:pt>
                <c:pt idx="955">
                  <c:v>5.3</c:v>
                </c:pt>
                <c:pt idx="956">
                  <c:v>5.3</c:v>
                </c:pt>
                <c:pt idx="957">
                  <c:v>5.3</c:v>
                </c:pt>
                <c:pt idx="958">
                  <c:v>5.3</c:v>
                </c:pt>
                <c:pt idx="959">
                  <c:v>3.6</c:v>
                </c:pt>
                <c:pt idx="960">
                  <c:v>3.7</c:v>
                </c:pt>
                <c:pt idx="961">
                  <c:v>3.7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5.3</c:v>
                </c:pt>
                <c:pt idx="967">
                  <c:v>5.7</c:v>
                </c:pt>
                <c:pt idx="968">
                  <c:v>6.2</c:v>
                </c:pt>
                <c:pt idx="969">
                  <c:v>5.6</c:v>
                </c:pt>
                <c:pt idx="970">
                  <c:v>6.2</c:v>
                </c:pt>
                <c:pt idx="971">
                  <c:v>6.2</c:v>
                </c:pt>
                <c:pt idx="972">
                  <c:v>6.2</c:v>
                </c:pt>
                <c:pt idx="973">
                  <c:v>6.2</c:v>
                </c:pt>
                <c:pt idx="974">
                  <c:v>3.5</c:v>
                </c:pt>
                <c:pt idx="975">
                  <c:v>5.7</c:v>
                </c:pt>
                <c:pt idx="976">
                  <c:v>4.3</c:v>
                </c:pt>
                <c:pt idx="977">
                  <c:v>3.6</c:v>
                </c:pt>
                <c:pt idx="978">
                  <c:v>4.5999999999999996</c:v>
                </c:pt>
                <c:pt idx="979">
                  <c:v>4.3</c:v>
                </c:pt>
                <c:pt idx="980">
                  <c:v>3.6</c:v>
                </c:pt>
                <c:pt idx="981">
                  <c:v>5.3</c:v>
                </c:pt>
                <c:pt idx="982">
                  <c:v>5.3</c:v>
                </c:pt>
                <c:pt idx="983">
                  <c:v>8.4</c:v>
                </c:pt>
                <c:pt idx="984">
                  <c:v>8.4</c:v>
                </c:pt>
                <c:pt idx="985">
                  <c:v>3.6</c:v>
                </c:pt>
                <c:pt idx="986">
                  <c:v>3.6</c:v>
                </c:pt>
                <c:pt idx="987">
                  <c:v>6.7</c:v>
                </c:pt>
                <c:pt idx="988">
                  <c:v>6.7</c:v>
                </c:pt>
                <c:pt idx="989">
                  <c:v>6.7</c:v>
                </c:pt>
                <c:pt idx="990">
                  <c:v>6.7</c:v>
                </c:pt>
                <c:pt idx="991">
                  <c:v>5.4</c:v>
                </c:pt>
                <c:pt idx="992">
                  <c:v>5.3</c:v>
                </c:pt>
                <c:pt idx="993">
                  <c:v>5.3</c:v>
                </c:pt>
                <c:pt idx="994">
                  <c:v>3</c:v>
                </c:pt>
                <c:pt idx="995">
                  <c:v>5.6</c:v>
                </c:pt>
                <c:pt idx="996">
                  <c:v>5.2</c:v>
                </c:pt>
                <c:pt idx="997">
                  <c:v>3</c:v>
                </c:pt>
                <c:pt idx="998">
                  <c:v>6.2</c:v>
                </c:pt>
                <c:pt idx="999">
                  <c:v>5</c:v>
                </c:pt>
                <c:pt idx="1000">
                  <c:v>5</c:v>
                </c:pt>
                <c:pt idx="1001">
                  <c:v>4.2</c:v>
                </c:pt>
                <c:pt idx="1002">
                  <c:v>4.2</c:v>
                </c:pt>
                <c:pt idx="1003">
                  <c:v>5.5</c:v>
                </c:pt>
                <c:pt idx="1004">
                  <c:v>5.2</c:v>
                </c:pt>
                <c:pt idx="1005">
                  <c:v>5.2</c:v>
                </c:pt>
                <c:pt idx="1006">
                  <c:v>4.3</c:v>
                </c:pt>
                <c:pt idx="1007">
                  <c:v>4.3</c:v>
                </c:pt>
                <c:pt idx="1008">
                  <c:v>3.6</c:v>
                </c:pt>
                <c:pt idx="1009">
                  <c:v>4.8</c:v>
                </c:pt>
                <c:pt idx="1010">
                  <c:v>3.7</c:v>
                </c:pt>
                <c:pt idx="1011">
                  <c:v>3.7</c:v>
                </c:pt>
                <c:pt idx="1012">
                  <c:v>6.2</c:v>
                </c:pt>
                <c:pt idx="1013">
                  <c:v>4.8</c:v>
                </c:pt>
                <c:pt idx="1014">
                  <c:v>5</c:v>
                </c:pt>
                <c:pt idx="1015">
                  <c:v>4.8</c:v>
                </c:pt>
                <c:pt idx="1016">
                  <c:v>4.8</c:v>
                </c:pt>
                <c:pt idx="1017">
                  <c:v>5.5</c:v>
                </c:pt>
                <c:pt idx="1018">
                  <c:v>5.4</c:v>
                </c:pt>
                <c:pt idx="1019">
                  <c:v>6.5</c:v>
                </c:pt>
                <c:pt idx="1020">
                  <c:v>5.3</c:v>
                </c:pt>
                <c:pt idx="1021">
                  <c:v>5.3</c:v>
                </c:pt>
                <c:pt idx="1022">
                  <c:v>5.3</c:v>
                </c:pt>
                <c:pt idx="1023">
                  <c:v>5.3</c:v>
                </c:pt>
                <c:pt idx="1024">
                  <c:v>5.3</c:v>
                </c:pt>
                <c:pt idx="1025">
                  <c:v>5.3</c:v>
                </c:pt>
                <c:pt idx="1026">
                  <c:v>5.3</c:v>
                </c:pt>
                <c:pt idx="1027">
                  <c:v>5.3</c:v>
                </c:pt>
                <c:pt idx="1028">
                  <c:v>6</c:v>
                </c:pt>
                <c:pt idx="1029">
                  <c:v>6</c:v>
                </c:pt>
                <c:pt idx="1030">
                  <c:v>6</c:v>
                </c:pt>
                <c:pt idx="1031">
                  <c:v>6</c:v>
                </c:pt>
                <c:pt idx="1032">
                  <c:v>6.8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6.2</c:v>
                </c:pt>
                <c:pt idx="1038">
                  <c:v>6.2</c:v>
                </c:pt>
                <c:pt idx="1039">
                  <c:v>5</c:v>
                </c:pt>
                <c:pt idx="1040">
                  <c:v>5.3</c:v>
                </c:pt>
                <c:pt idx="1041">
                  <c:v>5.3</c:v>
                </c:pt>
                <c:pt idx="1042">
                  <c:v>6.8</c:v>
                </c:pt>
                <c:pt idx="1043">
                  <c:v>5</c:v>
                </c:pt>
                <c:pt idx="1044">
                  <c:v>5</c:v>
                </c:pt>
                <c:pt idx="1045">
                  <c:v>5.3</c:v>
                </c:pt>
                <c:pt idx="1046">
                  <c:v>5.3</c:v>
                </c:pt>
                <c:pt idx="1047">
                  <c:v>5.3</c:v>
                </c:pt>
                <c:pt idx="1048">
                  <c:v>5.3</c:v>
                </c:pt>
                <c:pt idx="1049">
                  <c:v>5.3</c:v>
                </c:pt>
                <c:pt idx="1050">
                  <c:v>5.3</c:v>
                </c:pt>
                <c:pt idx="1051">
                  <c:v>5.4</c:v>
                </c:pt>
                <c:pt idx="1052">
                  <c:v>5.4</c:v>
                </c:pt>
                <c:pt idx="1053">
                  <c:v>4.5999999999999996</c:v>
                </c:pt>
                <c:pt idx="1054">
                  <c:v>6.2</c:v>
                </c:pt>
                <c:pt idx="1055">
                  <c:v>6.2</c:v>
                </c:pt>
                <c:pt idx="1056">
                  <c:v>5.4</c:v>
                </c:pt>
                <c:pt idx="1057">
                  <c:v>5.3</c:v>
                </c:pt>
                <c:pt idx="1058">
                  <c:v>5.3</c:v>
                </c:pt>
                <c:pt idx="1059">
                  <c:v>5.3</c:v>
                </c:pt>
                <c:pt idx="1060">
                  <c:v>5.3</c:v>
                </c:pt>
                <c:pt idx="1061">
                  <c:v>4.5999999999999996</c:v>
                </c:pt>
                <c:pt idx="1062">
                  <c:v>5.4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6</c:v>
                </c:pt>
              </c:numCache>
            </c:numRef>
          </c:xVal>
          <c:yVal>
            <c:numRef>
              <c:f>FuelConsumptionCo2!$M$2:$M$1068</c:f>
              <c:numCache>
                <c:formatCode>General</c:formatCode>
                <c:ptCount val="1067"/>
                <c:pt idx="0">
                  <c:v>108</c:v>
                </c:pt>
                <c:pt idx="1">
                  <c:v>110</c:v>
                </c:pt>
                <c:pt idx="2">
                  <c:v>110</c:v>
                </c:pt>
                <c:pt idx="3">
                  <c:v>124</c:v>
                </c:pt>
                <c:pt idx="4">
                  <c:v>126</c:v>
                </c:pt>
                <c:pt idx="5">
                  <c:v>126</c:v>
                </c:pt>
                <c:pt idx="6">
                  <c:v>129</c:v>
                </c:pt>
                <c:pt idx="7">
                  <c:v>131</c:v>
                </c:pt>
                <c:pt idx="8">
                  <c:v>136</c:v>
                </c:pt>
                <c:pt idx="9">
                  <c:v>138</c:v>
                </c:pt>
                <c:pt idx="10">
                  <c:v>138</c:v>
                </c:pt>
                <c:pt idx="11">
                  <c:v>138</c:v>
                </c:pt>
                <c:pt idx="12">
                  <c:v>138</c:v>
                </c:pt>
                <c:pt idx="13">
                  <c:v>143</c:v>
                </c:pt>
                <c:pt idx="14">
                  <c:v>143</c:v>
                </c:pt>
                <c:pt idx="15">
                  <c:v>145</c:v>
                </c:pt>
                <c:pt idx="16">
                  <c:v>145</c:v>
                </c:pt>
                <c:pt idx="17">
                  <c:v>145</c:v>
                </c:pt>
                <c:pt idx="18">
                  <c:v>147</c:v>
                </c:pt>
                <c:pt idx="19">
                  <c:v>147</c:v>
                </c:pt>
                <c:pt idx="20">
                  <c:v>147</c:v>
                </c:pt>
                <c:pt idx="21">
                  <c:v>152</c:v>
                </c:pt>
                <c:pt idx="22">
                  <c:v>152</c:v>
                </c:pt>
                <c:pt idx="23">
                  <c:v>181</c:v>
                </c:pt>
                <c:pt idx="24">
                  <c:v>181</c:v>
                </c:pt>
                <c:pt idx="25">
                  <c:v>156</c:v>
                </c:pt>
                <c:pt idx="26">
                  <c:v>156</c:v>
                </c:pt>
                <c:pt idx="27">
                  <c:v>184</c:v>
                </c:pt>
                <c:pt idx="28">
                  <c:v>159</c:v>
                </c:pt>
                <c:pt idx="29">
                  <c:v>159</c:v>
                </c:pt>
                <c:pt idx="30">
                  <c:v>159</c:v>
                </c:pt>
                <c:pt idx="31">
                  <c:v>159</c:v>
                </c:pt>
                <c:pt idx="32">
                  <c:v>159</c:v>
                </c:pt>
                <c:pt idx="33">
                  <c:v>186</c:v>
                </c:pt>
                <c:pt idx="34">
                  <c:v>186</c:v>
                </c:pt>
                <c:pt idx="35">
                  <c:v>186</c:v>
                </c:pt>
                <c:pt idx="36">
                  <c:v>161</c:v>
                </c:pt>
                <c:pt idx="37">
                  <c:v>161</c:v>
                </c:pt>
                <c:pt idx="38">
                  <c:v>161</c:v>
                </c:pt>
                <c:pt idx="39">
                  <c:v>161</c:v>
                </c:pt>
                <c:pt idx="40">
                  <c:v>161</c:v>
                </c:pt>
                <c:pt idx="41">
                  <c:v>192</c:v>
                </c:pt>
                <c:pt idx="42">
                  <c:v>163</c:v>
                </c:pt>
                <c:pt idx="43">
                  <c:v>163</c:v>
                </c:pt>
                <c:pt idx="44">
                  <c:v>163</c:v>
                </c:pt>
                <c:pt idx="45">
                  <c:v>163</c:v>
                </c:pt>
                <c:pt idx="46">
                  <c:v>192</c:v>
                </c:pt>
                <c:pt idx="47">
                  <c:v>166</c:v>
                </c:pt>
                <c:pt idx="48">
                  <c:v>166</c:v>
                </c:pt>
                <c:pt idx="49">
                  <c:v>166</c:v>
                </c:pt>
                <c:pt idx="50">
                  <c:v>166</c:v>
                </c:pt>
                <c:pt idx="51">
                  <c:v>166</c:v>
                </c:pt>
                <c:pt idx="52">
                  <c:v>194</c:v>
                </c:pt>
                <c:pt idx="53">
                  <c:v>194</c:v>
                </c:pt>
                <c:pt idx="54">
                  <c:v>168</c:v>
                </c:pt>
                <c:pt idx="55">
                  <c:v>168</c:v>
                </c:pt>
                <c:pt idx="56">
                  <c:v>168</c:v>
                </c:pt>
                <c:pt idx="57">
                  <c:v>168</c:v>
                </c:pt>
                <c:pt idx="58">
                  <c:v>168</c:v>
                </c:pt>
                <c:pt idx="59">
                  <c:v>168</c:v>
                </c:pt>
                <c:pt idx="60">
                  <c:v>168</c:v>
                </c:pt>
                <c:pt idx="61">
                  <c:v>168</c:v>
                </c:pt>
                <c:pt idx="62">
                  <c:v>197</c:v>
                </c:pt>
                <c:pt idx="63">
                  <c:v>197</c:v>
                </c:pt>
                <c:pt idx="64">
                  <c:v>170</c:v>
                </c:pt>
                <c:pt idx="65">
                  <c:v>170</c:v>
                </c:pt>
                <c:pt idx="66">
                  <c:v>170</c:v>
                </c:pt>
                <c:pt idx="67">
                  <c:v>173</c:v>
                </c:pt>
                <c:pt idx="68">
                  <c:v>172</c:v>
                </c:pt>
                <c:pt idx="69">
                  <c:v>172</c:v>
                </c:pt>
                <c:pt idx="70">
                  <c:v>172</c:v>
                </c:pt>
                <c:pt idx="71">
                  <c:v>175</c:v>
                </c:pt>
                <c:pt idx="72">
                  <c:v>175</c:v>
                </c:pt>
                <c:pt idx="73">
                  <c:v>175</c:v>
                </c:pt>
                <c:pt idx="74">
                  <c:v>175</c:v>
                </c:pt>
                <c:pt idx="75">
                  <c:v>175</c:v>
                </c:pt>
                <c:pt idx="76">
                  <c:v>175</c:v>
                </c:pt>
                <c:pt idx="77">
                  <c:v>175</c:v>
                </c:pt>
                <c:pt idx="78">
                  <c:v>175</c:v>
                </c:pt>
                <c:pt idx="79">
                  <c:v>175</c:v>
                </c:pt>
                <c:pt idx="80">
                  <c:v>175</c:v>
                </c:pt>
                <c:pt idx="81">
                  <c:v>177</c:v>
                </c:pt>
                <c:pt idx="82">
                  <c:v>177</c:v>
                </c:pt>
                <c:pt idx="83">
                  <c:v>177</c:v>
                </c:pt>
                <c:pt idx="84">
                  <c:v>177</c:v>
                </c:pt>
                <c:pt idx="85">
                  <c:v>177</c:v>
                </c:pt>
                <c:pt idx="86">
                  <c:v>177</c:v>
                </c:pt>
                <c:pt idx="87">
                  <c:v>177</c:v>
                </c:pt>
                <c:pt idx="88">
                  <c:v>177</c:v>
                </c:pt>
                <c:pt idx="89">
                  <c:v>177</c:v>
                </c:pt>
                <c:pt idx="90">
                  <c:v>177</c:v>
                </c:pt>
                <c:pt idx="91">
                  <c:v>177</c:v>
                </c:pt>
                <c:pt idx="92">
                  <c:v>177</c:v>
                </c:pt>
                <c:pt idx="93">
                  <c:v>179</c:v>
                </c:pt>
                <c:pt idx="94">
                  <c:v>179</c:v>
                </c:pt>
                <c:pt idx="95">
                  <c:v>179</c:v>
                </c:pt>
                <c:pt idx="96">
                  <c:v>179</c:v>
                </c:pt>
                <c:pt idx="97">
                  <c:v>179</c:v>
                </c:pt>
                <c:pt idx="98">
                  <c:v>179</c:v>
                </c:pt>
                <c:pt idx="99">
                  <c:v>179</c:v>
                </c:pt>
                <c:pt idx="100">
                  <c:v>179</c:v>
                </c:pt>
                <c:pt idx="101">
                  <c:v>179</c:v>
                </c:pt>
                <c:pt idx="102">
                  <c:v>179</c:v>
                </c:pt>
                <c:pt idx="103">
                  <c:v>179</c:v>
                </c:pt>
                <c:pt idx="104">
                  <c:v>179</c:v>
                </c:pt>
                <c:pt idx="105">
                  <c:v>179</c:v>
                </c:pt>
                <c:pt idx="106">
                  <c:v>179</c:v>
                </c:pt>
                <c:pt idx="107">
                  <c:v>179</c:v>
                </c:pt>
                <c:pt idx="108">
                  <c:v>179</c:v>
                </c:pt>
                <c:pt idx="109">
                  <c:v>179</c:v>
                </c:pt>
                <c:pt idx="110">
                  <c:v>179</c:v>
                </c:pt>
                <c:pt idx="111">
                  <c:v>179</c:v>
                </c:pt>
                <c:pt idx="112">
                  <c:v>213</c:v>
                </c:pt>
                <c:pt idx="113">
                  <c:v>182</c:v>
                </c:pt>
                <c:pt idx="114">
                  <c:v>182</c:v>
                </c:pt>
                <c:pt idx="115">
                  <c:v>182</c:v>
                </c:pt>
                <c:pt idx="116">
                  <c:v>182</c:v>
                </c:pt>
                <c:pt idx="117">
                  <c:v>182</c:v>
                </c:pt>
                <c:pt idx="118">
                  <c:v>182</c:v>
                </c:pt>
                <c:pt idx="119">
                  <c:v>182</c:v>
                </c:pt>
                <c:pt idx="120">
                  <c:v>182</c:v>
                </c:pt>
                <c:pt idx="121">
                  <c:v>184</c:v>
                </c:pt>
                <c:pt idx="122">
                  <c:v>184</c:v>
                </c:pt>
                <c:pt idx="123">
                  <c:v>184</c:v>
                </c:pt>
                <c:pt idx="124">
                  <c:v>184</c:v>
                </c:pt>
                <c:pt idx="125">
                  <c:v>184</c:v>
                </c:pt>
                <c:pt idx="126">
                  <c:v>184</c:v>
                </c:pt>
                <c:pt idx="127">
                  <c:v>184</c:v>
                </c:pt>
                <c:pt idx="128">
                  <c:v>184</c:v>
                </c:pt>
                <c:pt idx="129">
                  <c:v>184</c:v>
                </c:pt>
                <c:pt idx="130">
                  <c:v>184</c:v>
                </c:pt>
                <c:pt idx="131">
                  <c:v>184</c:v>
                </c:pt>
                <c:pt idx="132">
                  <c:v>184</c:v>
                </c:pt>
                <c:pt idx="133">
                  <c:v>184</c:v>
                </c:pt>
                <c:pt idx="134">
                  <c:v>184</c:v>
                </c:pt>
                <c:pt idx="135">
                  <c:v>184</c:v>
                </c:pt>
                <c:pt idx="136">
                  <c:v>184</c:v>
                </c:pt>
                <c:pt idx="137">
                  <c:v>184</c:v>
                </c:pt>
                <c:pt idx="138">
                  <c:v>184</c:v>
                </c:pt>
                <c:pt idx="139">
                  <c:v>186</c:v>
                </c:pt>
                <c:pt idx="140">
                  <c:v>186</c:v>
                </c:pt>
                <c:pt idx="141">
                  <c:v>186</c:v>
                </c:pt>
                <c:pt idx="142">
                  <c:v>186</c:v>
                </c:pt>
                <c:pt idx="143">
                  <c:v>186</c:v>
                </c:pt>
                <c:pt idx="144">
                  <c:v>186</c:v>
                </c:pt>
                <c:pt idx="145">
                  <c:v>186</c:v>
                </c:pt>
                <c:pt idx="146">
                  <c:v>189</c:v>
                </c:pt>
                <c:pt idx="147">
                  <c:v>189</c:v>
                </c:pt>
                <c:pt idx="148">
                  <c:v>189</c:v>
                </c:pt>
                <c:pt idx="149">
                  <c:v>189</c:v>
                </c:pt>
                <c:pt idx="150">
                  <c:v>189</c:v>
                </c:pt>
                <c:pt idx="151">
                  <c:v>189</c:v>
                </c:pt>
                <c:pt idx="152">
                  <c:v>189</c:v>
                </c:pt>
                <c:pt idx="153">
                  <c:v>189</c:v>
                </c:pt>
                <c:pt idx="154">
                  <c:v>189</c:v>
                </c:pt>
                <c:pt idx="155">
                  <c:v>189</c:v>
                </c:pt>
                <c:pt idx="156">
                  <c:v>189</c:v>
                </c:pt>
                <c:pt idx="157">
                  <c:v>189</c:v>
                </c:pt>
                <c:pt idx="158">
                  <c:v>224</c:v>
                </c:pt>
                <c:pt idx="159">
                  <c:v>224</c:v>
                </c:pt>
                <c:pt idx="160">
                  <c:v>191</c:v>
                </c:pt>
                <c:pt idx="161">
                  <c:v>191</c:v>
                </c:pt>
                <c:pt idx="162">
                  <c:v>191</c:v>
                </c:pt>
                <c:pt idx="163">
                  <c:v>191</c:v>
                </c:pt>
                <c:pt idx="164">
                  <c:v>191</c:v>
                </c:pt>
                <c:pt idx="165">
                  <c:v>191</c:v>
                </c:pt>
                <c:pt idx="166">
                  <c:v>191</c:v>
                </c:pt>
                <c:pt idx="167">
                  <c:v>191</c:v>
                </c:pt>
                <c:pt idx="168">
                  <c:v>191</c:v>
                </c:pt>
                <c:pt idx="169">
                  <c:v>191</c:v>
                </c:pt>
                <c:pt idx="170">
                  <c:v>191</c:v>
                </c:pt>
                <c:pt idx="171">
                  <c:v>191</c:v>
                </c:pt>
                <c:pt idx="172">
                  <c:v>191</c:v>
                </c:pt>
                <c:pt idx="173">
                  <c:v>191</c:v>
                </c:pt>
                <c:pt idx="174">
                  <c:v>191</c:v>
                </c:pt>
                <c:pt idx="175">
                  <c:v>191</c:v>
                </c:pt>
                <c:pt idx="176">
                  <c:v>191</c:v>
                </c:pt>
                <c:pt idx="177">
                  <c:v>227</c:v>
                </c:pt>
                <c:pt idx="178">
                  <c:v>193</c:v>
                </c:pt>
                <c:pt idx="179">
                  <c:v>193</c:v>
                </c:pt>
                <c:pt idx="180">
                  <c:v>193</c:v>
                </c:pt>
                <c:pt idx="181">
                  <c:v>193</c:v>
                </c:pt>
                <c:pt idx="182">
                  <c:v>193</c:v>
                </c:pt>
                <c:pt idx="183">
                  <c:v>193</c:v>
                </c:pt>
                <c:pt idx="184">
                  <c:v>193</c:v>
                </c:pt>
                <c:pt idx="185">
                  <c:v>193</c:v>
                </c:pt>
                <c:pt idx="186">
                  <c:v>193</c:v>
                </c:pt>
                <c:pt idx="187">
                  <c:v>193</c:v>
                </c:pt>
                <c:pt idx="188">
                  <c:v>196</c:v>
                </c:pt>
                <c:pt idx="189">
                  <c:v>230</c:v>
                </c:pt>
                <c:pt idx="190">
                  <c:v>196</c:v>
                </c:pt>
                <c:pt idx="191">
                  <c:v>196</c:v>
                </c:pt>
                <c:pt idx="192">
                  <c:v>196</c:v>
                </c:pt>
                <c:pt idx="193">
                  <c:v>196</c:v>
                </c:pt>
                <c:pt idx="194">
                  <c:v>196</c:v>
                </c:pt>
                <c:pt idx="195">
                  <c:v>196</c:v>
                </c:pt>
                <c:pt idx="196">
                  <c:v>196</c:v>
                </c:pt>
                <c:pt idx="197">
                  <c:v>196</c:v>
                </c:pt>
                <c:pt idx="198">
                  <c:v>230</c:v>
                </c:pt>
                <c:pt idx="199">
                  <c:v>196</c:v>
                </c:pt>
                <c:pt idx="200">
                  <c:v>196</c:v>
                </c:pt>
                <c:pt idx="201">
                  <c:v>196</c:v>
                </c:pt>
                <c:pt idx="202">
                  <c:v>196</c:v>
                </c:pt>
                <c:pt idx="203">
                  <c:v>196</c:v>
                </c:pt>
                <c:pt idx="204">
                  <c:v>196</c:v>
                </c:pt>
                <c:pt idx="205">
                  <c:v>196</c:v>
                </c:pt>
                <c:pt idx="206">
                  <c:v>196</c:v>
                </c:pt>
                <c:pt idx="207">
                  <c:v>196</c:v>
                </c:pt>
                <c:pt idx="208">
                  <c:v>196</c:v>
                </c:pt>
                <c:pt idx="209">
                  <c:v>198</c:v>
                </c:pt>
                <c:pt idx="210">
                  <c:v>198</c:v>
                </c:pt>
                <c:pt idx="211">
                  <c:v>198</c:v>
                </c:pt>
                <c:pt idx="212">
                  <c:v>198</c:v>
                </c:pt>
                <c:pt idx="213">
                  <c:v>198</c:v>
                </c:pt>
                <c:pt idx="214">
                  <c:v>198</c:v>
                </c:pt>
                <c:pt idx="215">
                  <c:v>198</c:v>
                </c:pt>
                <c:pt idx="216">
                  <c:v>198</c:v>
                </c:pt>
                <c:pt idx="217">
                  <c:v>198</c:v>
                </c:pt>
                <c:pt idx="218">
                  <c:v>198</c:v>
                </c:pt>
                <c:pt idx="219">
                  <c:v>198</c:v>
                </c:pt>
                <c:pt idx="220">
                  <c:v>198</c:v>
                </c:pt>
                <c:pt idx="221">
                  <c:v>198</c:v>
                </c:pt>
                <c:pt idx="222">
                  <c:v>198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202</c:v>
                </c:pt>
                <c:pt idx="238">
                  <c:v>202</c:v>
                </c:pt>
                <c:pt idx="239">
                  <c:v>202</c:v>
                </c:pt>
                <c:pt idx="240">
                  <c:v>202</c:v>
                </c:pt>
                <c:pt idx="241">
                  <c:v>202</c:v>
                </c:pt>
                <c:pt idx="242">
                  <c:v>202</c:v>
                </c:pt>
                <c:pt idx="243">
                  <c:v>202</c:v>
                </c:pt>
                <c:pt idx="244">
                  <c:v>202</c:v>
                </c:pt>
                <c:pt idx="245">
                  <c:v>202</c:v>
                </c:pt>
                <c:pt idx="246">
                  <c:v>202</c:v>
                </c:pt>
                <c:pt idx="247">
                  <c:v>202</c:v>
                </c:pt>
                <c:pt idx="248">
                  <c:v>205</c:v>
                </c:pt>
                <c:pt idx="249">
                  <c:v>205</c:v>
                </c:pt>
                <c:pt idx="250">
                  <c:v>205</c:v>
                </c:pt>
                <c:pt idx="251">
                  <c:v>205</c:v>
                </c:pt>
                <c:pt idx="252">
                  <c:v>205</c:v>
                </c:pt>
                <c:pt idx="253">
                  <c:v>205</c:v>
                </c:pt>
                <c:pt idx="254">
                  <c:v>207</c:v>
                </c:pt>
                <c:pt idx="255">
                  <c:v>207</c:v>
                </c:pt>
                <c:pt idx="256">
                  <c:v>207</c:v>
                </c:pt>
                <c:pt idx="257">
                  <c:v>207</c:v>
                </c:pt>
                <c:pt idx="258">
                  <c:v>207</c:v>
                </c:pt>
                <c:pt idx="259">
                  <c:v>207</c:v>
                </c:pt>
                <c:pt idx="260">
                  <c:v>207</c:v>
                </c:pt>
                <c:pt idx="261">
                  <c:v>207</c:v>
                </c:pt>
                <c:pt idx="262">
                  <c:v>207</c:v>
                </c:pt>
                <c:pt idx="263">
                  <c:v>207</c:v>
                </c:pt>
                <c:pt idx="264">
                  <c:v>207</c:v>
                </c:pt>
                <c:pt idx="265">
                  <c:v>207</c:v>
                </c:pt>
                <c:pt idx="266">
                  <c:v>207</c:v>
                </c:pt>
                <c:pt idx="267">
                  <c:v>207</c:v>
                </c:pt>
                <c:pt idx="268">
                  <c:v>207</c:v>
                </c:pt>
                <c:pt idx="269">
                  <c:v>207</c:v>
                </c:pt>
                <c:pt idx="270">
                  <c:v>246</c:v>
                </c:pt>
                <c:pt idx="271">
                  <c:v>209</c:v>
                </c:pt>
                <c:pt idx="272">
                  <c:v>209</c:v>
                </c:pt>
                <c:pt idx="273">
                  <c:v>209</c:v>
                </c:pt>
                <c:pt idx="274">
                  <c:v>209</c:v>
                </c:pt>
                <c:pt idx="275">
                  <c:v>209</c:v>
                </c:pt>
                <c:pt idx="276">
                  <c:v>209</c:v>
                </c:pt>
                <c:pt idx="277">
                  <c:v>209</c:v>
                </c:pt>
                <c:pt idx="278">
                  <c:v>209</c:v>
                </c:pt>
                <c:pt idx="279">
                  <c:v>209</c:v>
                </c:pt>
                <c:pt idx="280">
                  <c:v>209</c:v>
                </c:pt>
                <c:pt idx="281">
                  <c:v>209</c:v>
                </c:pt>
                <c:pt idx="282">
                  <c:v>209</c:v>
                </c:pt>
                <c:pt idx="283">
                  <c:v>209</c:v>
                </c:pt>
                <c:pt idx="284">
                  <c:v>209</c:v>
                </c:pt>
                <c:pt idx="285">
                  <c:v>209</c:v>
                </c:pt>
                <c:pt idx="286">
                  <c:v>209</c:v>
                </c:pt>
                <c:pt idx="287">
                  <c:v>209</c:v>
                </c:pt>
                <c:pt idx="288">
                  <c:v>209</c:v>
                </c:pt>
                <c:pt idx="289">
                  <c:v>209</c:v>
                </c:pt>
                <c:pt idx="290">
                  <c:v>209</c:v>
                </c:pt>
                <c:pt idx="291">
                  <c:v>212</c:v>
                </c:pt>
                <c:pt idx="292">
                  <c:v>212</c:v>
                </c:pt>
                <c:pt idx="293">
                  <c:v>212</c:v>
                </c:pt>
                <c:pt idx="294">
                  <c:v>212</c:v>
                </c:pt>
                <c:pt idx="295">
                  <c:v>212</c:v>
                </c:pt>
                <c:pt idx="296">
                  <c:v>212</c:v>
                </c:pt>
                <c:pt idx="297">
                  <c:v>212</c:v>
                </c:pt>
                <c:pt idx="298">
                  <c:v>212</c:v>
                </c:pt>
                <c:pt idx="299">
                  <c:v>212</c:v>
                </c:pt>
                <c:pt idx="300">
                  <c:v>212</c:v>
                </c:pt>
                <c:pt idx="301">
                  <c:v>212</c:v>
                </c:pt>
                <c:pt idx="302">
                  <c:v>214</c:v>
                </c:pt>
                <c:pt idx="303">
                  <c:v>214</c:v>
                </c:pt>
                <c:pt idx="304">
                  <c:v>214</c:v>
                </c:pt>
                <c:pt idx="305">
                  <c:v>214</c:v>
                </c:pt>
                <c:pt idx="306">
                  <c:v>214</c:v>
                </c:pt>
                <c:pt idx="307">
                  <c:v>214</c:v>
                </c:pt>
                <c:pt idx="308">
                  <c:v>214</c:v>
                </c:pt>
                <c:pt idx="309">
                  <c:v>214</c:v>
                </c:pt>
                <c:pt idx="310">
                  <c:v>214</c:v>
                </c:pt>
                <c:pt idx="311">
                  <c:v>216</c:v>
                </c:pt>
                <c:pt idx="312">
                  <c:v>216</c:v>
                </c:pt>
                <c:pt idx="313">
                  <c:v>216</c:v>
                </c:pt>
                <c:pt idx="314">
                  <c:v>216</c:v>
                </c:pt>
                <c:pt idx="315">
                  <c:v>216</c:v>
                </c:pt>
                <c:pt idx="316">
                  <c:v>216</c:v>
                </c:pt>
                <c:pt idx="317">
                  <c:v>216</c:v>
                </c:pt>
                <c:pt idx="318">
                  <c:v>216</c:v>
                </c:pt>
                <c:pt idx="319">
                  <c:v>216</c:v>
                </c:pt>
                <c:pt idx="320">
                  <c:v>216</c:v>
                </c:pt>
                <c:pt idx="321">
                  <c:v>216</c:v>
                </c:pt>
                <c:pt idx="322">
                  <c:v>216</c:v>
                </c:pt>
                <c:pt idx="323">
                  <c:v>216</c:v>
                </c:pt>
                <c:pt idx="324">
                  <c:v>216</c:v>
                </c:pt>
                <c:pt idx="325">
                  <c:v>216</c:v>
                </c:pt>
                <c:pt idx="326">
                  <c:v>218</c:v>
                </c:pt>
                <c:pt idx="327">
                  <c:v>218</c:v>
                </c:pt>
                <c:pt idx="328">
                  <c:v>218</c:v>
                </c:pt>
                <c:pt idx="329">
                  <c:v>218</c:v>
                </c:pt>
                <c:pt idx="330">
                  <c:v>218</c:v>
                </c:pt>
                <c:pt idx="331">
                  <c:v>218</c:v>
                </c:pt>
                <c:pt idx="332">
                  <c:v>218</c:v>
                </c:pt>
                <c:pt idx="333">
                  <c:v>218</c:v>
                </c:pt>
                <c:pt idx="334">
                  <c:v>221</c:v>
                </c:pt>
                <c:pt idx="335">
                  <c:v>221</c:v>
                </c:pt>
                <c:pt idx="336">
                  <c:v>221</c:v>
                </c:pt>
                <c:pt idx="337">
                  <c:v>221</c:v>
                </c:pt>
                <c:pt idx="338">
                  <c:v>221</c:v>
                </c:pt>
                <c:pt idx="339">
                  <c:v>221</c:v>
                </c:pt>
                <c:pt idx="340">
                  <c:v>221</c:v>
                </c:pt>
                <c:pt idx="341">
                  <c:v>221</c:v>
                </c:pt>
                <c:pt idx="342">
                  <c:v>221</c:v>
                </c:pt>
                <c:pt idx="343">
                  <c:v>221</c:v>
                </c:pt>
                <c:pt idx="344">
                  <c:v>221</c:v>
                </c:pt>
                <c:pt idx="345">
                  <c:v>221</c:v>
                </c:pt>
                <c:pt idx="346">
                  <c:v>221</c:v>
                </c:pt>
                <c:pt idx="347">
                  <c:v>221</c:v>
                </c:pt>
                <c:pt idx="348">
                  <c:v>221</c:v>
                </c:pt>
                <c:pt idx="349">
                  <c:v>221</c:v>
                </c:pt>
                <c:pt idx="350">
                  <c:v>223</c:v>
                </c:pt>
                <c:pt idx="351">
                  <c:v>223</c:v>
                </c:pt>
                <c:pt idx="352">
                  <c:v>223</c:v>
                </c:pt>
                <c:pt idx="353">
                  <c:v>223</c:v>
                </c:pt>
                <c:pt idx="354">
                  <c:v>223</c:v>
                </c:pt>
                <c:pt idx="355">
                  <c:v>223</c:v>
                </c:pt>
                <c:pt idx="356">
                  <c:v>223</c:v>
                </c:pt>
                <c:pt idx="357">
                  <c:v>223</c:v>
                </c:pt>
                <c:pt idx="358">
                  <c:v>225</c:v>
                </c:pt>
                <c:pt idx="359">
                  <c:v>225</c:v>
                </c:pt>
                <c:pt idx="360">
                  <c:v>225</c:v>
                </c:pt>
                <c:pt idx="361">
                  <c:v>225</c:v>
                </c:pt>
                <c:pt idx="362">
                  <c:v>225</c:v>
                </c:pt>
                <c:pt idx="363">
                  <c:v>225</c:v>
                </c:pt>
                <c:pt idx="364">
                  <c:v>225</c:v>
                </c:pt>
                <c:pt idx="365">
                  <c:v>225</c:v>
                </c:pt>
                <c:pt idx="366">
                  <c:v>225</c:v>
                </c:pt>
                <c:pt idx="367">
                  <c:v>225</c:v>
                </c:pt>
                <c:pt idx="368">
                  <c:v>225</c:v>
                </c:pt>
                <c:pt idx="369">
                  <c:v>225</c:v>
                </c:pt>
                <c:pt idx="370">
                  <c:v>225</c:v>
                </c:pt>
                <c:pt idx="371">
                  <c:v>225</c:v>
                </c:pt>
                <c:pt idx="372">
                  <c:v>225</c:v>
                </c:pt>
                <c:pt idx="373">
                  <c:v>225</c:v>
                </c:pt>
                <c:pt idx="374">
                  <c:v>225</c:v>
                </c:pt>
                <c:pt idx="375">
                  <c:v>225</c:v>
                </c:pt>
                <c:pt idx="376">
                  <c:v>225</c:v>
                </c:pt>
                <c:pt idx="377">
                  <c:v>225</c:v>
                </c:pt>
                <c:pt idx="378">
                  <c:v>225</c:v>
                </c:pt>
                <c:pt idx="379">
                  <c:v>228</c:v>
                </c:pt>
                <c:pt idx="380">
                  <c:v>228</c:v>
                </c:pt>
                <c:pt idx="381">
                  <c:v>228</c:v>
                </c:pt>
                <c:pt idx="382">
                  <c:v>228</c:v>
                </c:pt>
                <c:pt idx="383">
                  <c:v>228</c:v>
                </c:pt>
                <c:pt idx="384">
                  <c:v>228</c:v>
                </c:pt>
                <c:pt idx="385">
                  <c:v>267</c:v>
                </c:pt>
                <c:pt idx="386">
                  <c:v>228</c:v>
                </c:pt>
                <c:pt idx="387">
                  <c:v>228</c:v>
                </c:pt>
                <c:pt idx="388">
                  <c:v>228</c:v>
                </c:pt>
                <c:pt idx="389">
                  <c:v>228</c:v>
                </c:pt>
                <c:pt idx="390">
                  <c:v>228</c:v>
                </c:pt>
                <c:pt idx="391">
                  <c:v>228</c:v>
                </c:pt>
                <c:pt idx="392">
                  <c:v>228</c:v>
                </c:pt>
                <c:pt idx="393">
                  <c:v>230</c:v>
                </c:pt>
                <c:pt idx="394">
                  <c:v>230</c:v>
                </c:pt>
                <c:pt idx="395">
                  <c:v>230</c:v>
                </c:pt>
                <c:pt idx="396">
                  <c:v>230</c:v>
                </c:pt>
                <c:pt idx="397">
                  <c:v>230</c:v>
                </c:pt>
                <c:pt idx="398">
                  <c:v>230</c:v>
                </c:pt>
                <c:pt idx="399">
                  <c:v>230</c:v>
                </c:pt>
                <c:pt idx="400">
                  <c:v>230</c:v>
                </c:pt>
                <c:pt idx="401">
                  <c:v>230</c:v>
                </c:pt>
                <c:pt idx="402">
                  <c:v>230</c:v>
                </c:pt>
                <c:pt idx="403">
                  <c:v>230</c:v>
                </c:pt>
                <c:pt idx="404">
                  <c:v>230</c:v>
                </c:pt>
                <c:pt idx="405">
                  <c:v>230</c:v>
                </c:pt>
                <c:pt idx="406">
                  <c:v>230</c:v>
                </c:pt>
                <c:pt idx="407">
                  <c:v>230</c:v>
                </c:pt>
                <c:pt idx="408">
                  <c:v>230</c:v>
                </c:pt>
                <c:pt idx="409">
                  <c:v>230</c:v>
                </c:pt>
                <c:pt idx="410">
                  <c:v>232</c:v>
                </c:pt>
                <c:pt idx="411">
                  <c:v>232</c:v>
                </c:pt>
                <c:pt idx="412">
                  <c:v>232</c:v>
                </c:pt>
                <c:pt idx="413">
                  <c:v>232</c:v>
                </c:pt>
                <c:pt idx="414">
                  <c:v>232</c:v>
                </c:pt>
                <c:pt idx="415">
                  <c:v>232</c:v>
                </c:pt>
                <c:pt idx="416">
                  <c:v>232</c:v>
                </c:pt>
                <c:pt idx="417">
                  <c:v>162</c:v>
                </c:pt>
                <c:pt idx="418">
                  <c:v>232</c:v>
                </c:pt>
                <c:pt idx="419">
                  <c:v>232</c:v>
                </c:pt>
                <c:pt idx="420">
                  <c:v>232</c:v>
                </c:pt>
                <c:pt idx="421">
                  <c:v>232</c:v>
                </c:pt>
                <c:pt idx="422">
                  <c:v>232</c:v>
                </c:pt>
                <c:pt idx="423">
                  <c:v>232</c:v>
                </c:pt>
                <c:pt idx="424">
                  <c:v>232</c:v>
                </c:pt>
                <c:pt idx="425">
                  <c:v>235</c:v>
                </c:pt>
                <c:pt idx="426">
                  <c:v>235</c:v>
                </c:pt>
                <c:pt idx="427">
                  <c:v>235</c:v>
                </c:pt>
                <c:pt idx="428">
                  <c:v>235</c:v>
                </c:pt>
                <c:pt idx="429">
                  <c:v>235</c:v>
                </c:pt>
                <c:pt idx="430">
                  <c:v>235</c:v>
                </c:pt>
                <c:pt idx="431">
                  <c:v>235</c:v>
                </c:pt>
                <c:pt idx="432">
                  <c:v>235</c:v>
                </c:pt>
                <c:pt idx="433">
                  <c:v>235</c:v>
                </c:pt>
                <c:pt idx="434">
                  <c:v>235</c:v>
                </c:pt>
                <c:pt idx="435">
                  <c:v>235</c:v>
                </c:pt>
                <c:pt idx="436">
                  <c:v>235</c:v>
                </c:pt>
                <c:pt idx="437">
                  <c:v>235</c:v>
                </c:pt>
                <c:pt idx="438">
                  <c:v>235</c:v>
                </c:pt>
                <c:pt idx="439">
                  <c:v>275</c:v>
                </c:pt>
                <c:pt idx="440">
                  <c:v>235</c:v>
                </c:pt>
                <c:pt idx="441">
                  <c:v>235</c:v>
                </c:pt>
                <c:pt idx="442">
                  <c:v>235</c:v>
                </c:pt>
                <c:pt idx="443">
                  <c:v>237</c:v>
                </c:pt>
                <c:pt idx="444">
                  <c:v>237</c:v>
                </c:pt>
                <c:pt idx="445">
                  <c:v>237</c:v>
                </c:pt>
                <c:pt idx="446">
                  <c:v>237</c:v>
                </c:pt>
                <c:pt idx="447">
                  <c:v>237</c:v>
                </c:pt>
                <c:pt idx="448">
                  <c:v>237</c:v>
                </c:pt>
                <c:pt idx="449">
                  <c:v>237</c:v>
                </c:pt>
                <c:pt idx="450">
                  <c:v>165</c:v>
                </c:pt>
                <c:pt idx="451">
                  <c:v>165</c:v>
                </c:pt>
                <c:pt idx="452">
                  <c:v>237</c:v>
                </c:pt>
                <c:pt idx="453">
                  <c:v>237</c:v>
                </c:pt>
                <c:pt idx="454">
                  <c:v>237</c:v>
                </c:pt>
                <c:pt idx="455">
                  <c:v>237</c:v>
                </c:pt>
                <c:pt idx="456">
                  <c:v>278</c:v>
                </c:pt>
                <c:pt idx="457">
                  <c:v>237</c:v>
                </c:pt>
                <c:pt idx="458">
                  <c:v>237</c:v>
                </c:pt>
                <c:pt idx="459">
                  <c:v>239</c:v>
                </c:pt>
                <c:pt idx="460">
                  <c:v>239</c:v>
                </c:pt>
                <c:pt idx="461">
                  <c:v>239</c:v>
                </c:pt>
                <c:pt idx="462">
                  <c:v>239</c:v>
                </c:pt>
                <c:pt idx="463">
                  <c:v>239</c:v>
                </c:pt>
                <c:pt idx="464">
                  <c:v>239</c:v>
                </c:pt>
                <c:pt idx="465">
                  <c:v>239</c:v>
                </c:pt>
                <c:pt idx="466">
                  <c:v>239</c:v>
                </c:pt>
                <c:pt idx="467">
                  <c:v>239</c:v>
                </c:pt>
                <c:pt idx="468">
                  <c:v>281</c:v>
                </c:pt>
                <c:pt idx="469">
                  <c:v>239</c:v>
                </c:pt>
                <c:pt idx="470">
                  <c:v>281</c:v>
                </c:pt>
                <c:pt idx="471">
                  <c:v>242</c:v>
                </c:pt>
                <c:pt idx="472">
                  <c:v>242</c:v>
                </c:pt>
                <c:pt idx="473">
                  <c:v>242</c:v>
                </c:pt>
                <c:pt idx="474">
                  <c:v>242</c:v>
                </c:pt>
                <c:pt idx="475">
                  <c:v>242</c:v>
                </c:pt>
                <c:pt idx="476">
                  <c:v>242</c:v>
                </c:pt>
                <c:pt idx="477">
                  <c:v>242</c:v>
                </c:pt>
                <c:pt idx="478">
                  <c:v>242</c:v>
                </c:pt>
                <c:pt idx="479">
                  <c:v>242</c:v>
                </c:pt>
                <c:pt idx="480">
                  <c:v>242</c:v>
                </c:pt>
                <c:pt idx="481">
                  <c:v>242</c:v>
                </c:pt>
                <c:pt idx="482">
                  <c:v>242</c:v>
                </c:pt>
                <c:pt idx="483">
                  <c:v>242</c:v>
                </c:pt>
                <c:pt idx="484">
                  <c:v>244</c:v>
                </c:pt>
                <c:pt idx="485">
                  <c:v>244</c:v>
                </c:pt>
                <c:pt idx="486">
                  <c:v>244</c:v>
                </c:pt>
                <c:pt idx="487">
                  <c:v>170</c:v>
                </c:pt>
                <c:pt idx="488">
                  <c:v>244</c:v>
                </c:pt>
                <c:pt idx="489">
                  <c:v>244</c:v>
                </c:pt>
                <c:pt idx="490">
                  <c:v>244</c:v>
                </c:pt>
                <c:pt idx="491">
                  <c:v>244</c:v>
                </c:pt>
                <c:pt idx="492">
                  <c:v>244</c:v>
                </c:pt>
                <c:pt idx="493">
                  <c:v>244</c:v>
                </c:pt>
                <c:pt idx="494">
                  <c:v>244</c:v>
                </c:pt>
                <c:pt idx="495">
                  <c:v>244</c:v>
                </c:pt>
                <c:pt idx="496">
                  <c:v>244</c:v>
                </c:pt>
                <c:pt idx="497">
                  <c:v>244</c:v>
                </c:pt>
                <c:pt idx="498">
                  <c:v>244</c:v>
                </c:pt>
                <c:pt idx="499">
                  <c:v>286</c:v>
                </c:pt>
                <c:pt idx="500">
                  <c:v>246</c:v>
                </c:pt>
                <c:pt idx="501">
                  <c:v>246</c:v>
                </c:pt>
                <c:pt idx="502">
                  <c:v>246</c:v>
                </c:pt>
                <c:pt idx="503">
                  <c:v>246</c:v>
                </c:pt>
                <c:pt idx="504">
                  <c:v>246</c:v>
                </c:pt>
                <c:pt idx="505">
                  <c:v>246</c:v>
                </c:pt>
                <c:pt idx="506">
                  <c:v>246</c:v>
                </c:pt>
                <c:pt idx="507">
                  <c:v>246</c:v>
                </c:pt>
                <c:pt idx="508">
                  <c:v>246</c:v>
                </c:pt>
                <c:pt idx="509">
                  <c:v>246</c:v>
                </c:pt>
                <c:pt idx="510">
                  <c:v>246</c:v>
                </c:pt>
                <c:pt idx="511">
                  <c:v>246</c:v>
                </c:pt>
                <c:pt idx="512">
                  <c:v>246</c:v>
                </c:pt>
                <c:pt idx="513">
                  <c:v>248</c:v>
                </c:pt>
                <c:pt idx="514">
                  <c:v>248</c:v>
                </c:pt>
                <c:pt idx="515">
                  <c:v>248</c:v>
                </c:pt>
                <c:pt idx="516">
                  <c:v>248</c:v>
                </c:pt>
                <c:pt idx="517">
                  <c:v>248</c:v>
                </c:pt>
                <c:pt idx="518">
                  <c:v>248</c:v>
                </c:pt>
                <c:pt idx="519">
                  <c:v>248</c:v>
                </c:pt>
                <c:pt idx="520">
                  <c:v>248</c:v>
                </c:pt>
                <c:pt idx="521">
                  <c:v>251</c:v>
                </c:pt>
                <c:pt idx="522">
                  <c:v>294</c:v>
                </c:pt>
                <c:pt idx="523">
                  <c:v>251</c:v>
                </c:pt>
                <c:pt idx="524">
                  <c:v>251</c:v>
                </c:pt>
                <c:pt idx="525">
                  <c:v>251</c:v>
                </c:pt>
                <c:pt idx="526">
                  <c:v>251</c:v>
                </c:pt>
                <c:pt idx="527">
                  <c:v>251</c:v>
                </c:pt>
                <c:pt idx="528">
                  <c:v>251</c:v>
                </c:pt>
                <c:pt idx="529">
                  <c:v>251</c:v>
                </c:pt>
                <c:pt idx="530">
                  <c:v>251</c:v>
                </c:pt>
                <c:pt idx="531">
                  <c:v>251</c:v>
                </c:pt>
                <c:pt idx="532">
                  <c:v>251</c:v>
                </c:pt>
                <c:pt idx="533">
                  <c:v>251</c:v>
                </c:pt>
                <c:pt idx="534">
                  <c:v>251</c:v>
                </c:pt>
                <c:pt idx="535">
                  <c:v>251</c:v>
                </c:pt>
                <c:pt idx="536">
                  <c:v>253</c:v>
                </c:pt>
                <c:pt idx="537">
                  <c:v>253</c:v>
                </c:pt>
                <c:pt idx="538">
                  <c:v>253</c:v>
                </c:pt>
                <c:pt idx="539">
                  <c:v>253</c:v>
                </c:pt>
                <c:pt idx="540">
                  <c:v>253</c:v>
                </c:pt>
                <c:pt idx="541">
                  <c:v>253</c:v>
                </c:pt>
                <c:pt idx="542">
                  <c:v>253</c:v>
                </c:pt>
                <c:pt idx="543">
                  <c:v>253</c:v>
                </c:pt>
                <c:pt idx="544">
                  <c:v>253</c:v>
                </c:pt>
                <c:pt idx="545">
                  <c:v>253</c:v>
                </c:pt>
                <c:pt idx="546">
                  <c:v>253</c:v>
                </c:pt>
                <c:pt idx="547">
                  <c:v>253</c:v>
                </c:pt>
                <c:pt idx="548">
                  <c:v>253</c:v>
                </c:pt>
                <c:pt idx="549">
                  <c:v>253</c:v>
                </c:pt>
                <c:pt idx="550">
                  <c:v>253</c:v>
                </c:pt>
                <c:pt idx="551">
                  <c:v>255</c:v>
                </c:pt>
                <c:pt idx="552">
                  <c:v>255</c:v>
                </c:pt>
                <c:pt idx="553">
                  <c:v>255</c:v>
                </c:pt>
                <c:pt idx="554">
                  <c:v>255</c:v>
                </c:pt>
                <c:pt idx="555">
                  <c:v>255</c:v>
                </c:pt>
                <c:pt idx="556">
                  <c:v>255</c:v>
                </c:pt>
                <c:pt idx="557">
                  <c:v>255</c:v>
                </c:pt>
                <c:pt idx="558">
                  <c:v>255</c:v>
                </c:pt>
                <c:pt idx="559">
                  <c:v>255</c:v>
                </c:pt>
                <c:pt idx="560">
                  <c:v>255</c:v>
                </c:pt>
                <c:pt idx="561">
                  <c:v>255</c:v>
                </c:pt>
                <c:pt idx="562">
                  <c:v>255</c:v>
                </c:pt>
                <c:pt idx="563">
                  <c:v>255</c:v>
                </c:pt>
                <c:pt idx="564">
                  <c:v>258</c:v>
                </c:pt>
                <c:pt idx="565">
                  <c:v>258</c:v>
                </c:pt>
                <c:pt idx="566">
                  <c:v>258</c:v>
                </c:pt>
                <c:pt idx="567">
                  <c:v>258</c:v>
                </c:pt>
                <c:pt idx="568">
                  <c:v>258</c:v>
                </c:pt>
                <c:pt idx="569">
                  <c:v>258</c:v>
                </c:pt>
                <c:pt idx="570">
                  <c:v>258</c:v>
                </c:pt>
                <c:pt idx="571">
                  <c:v>258</c:v>
                </c:pt>
                <c:pt idx="572">
                  <c:v>258</c:v>
                </c:pt>
                <c:pt idx="573">
                  <c:v>258</c:v>
                </c:pt>
                <c:pt idx="574">
                  <c:v>258</c:v>
                </c:pt>
                <c:pt idx="575">
                  <c:v>258</c:v>
                </c:pt>
                <c:pt idx="576">
                  <c:v>258</c:v>
                </c:pt>
                <c:pt idx="577">
                  <c:v>258</c:v>
                </c:pt>
                <c:pt idx="578">
                  <c:v>258</c:v>
                </c:pt>
                <c:pt idx="579">
                  <c:v>258</c:v>
                </c:pt>
                <c:pt idx="580">
                  <c:v>258</c:v>
                </c:pt>
                <c:pt idx="581">
                  <c:v>260</c:v>
                </c:pt>
                <c:pt idx="582">
                  <c:v>260</c:v>
                </c:pt>
                <c:pt idx="583">
                  <c:v>260</c:v>
                </c:pt>
                <c:pt idx="584">
                  <c:v>260</c:v>
                </c:pt>
                <c:pt idx="585">
                  <c:v>260</c:v>
                </c:pt>
                <c:pt idx="586">
                  <c:v>260</c:v>
                </c:pt>
                <c:pt idx="587">
                  <c:v>260</c:v>
                </c:pt>
                <c:pt idx="588">
                  <c:v>260</c:v>
                </c:pt>
                <c:pt idx="589">
                  <c:v>260</c:v>
                </c:pt>
                <c:pt idx="590">
                  <c:v>260</c:v>
                </c:pt>
                <c:pt idx="591">
                  <c:v>260</c:v>
                </c:pt>
                <c:pt idx="592">
                  <c:v>260</c:v>
                </c:pt>
                <c:pt idx="593">
                  <c:v>260</c:v>
                </c:pt>
                <c:pt idx="594">
                  <c:v>260</c:v>
                </c:pt>
                <c:pt idx="595">
                  <c:v>260</c:v>
                </c:pt>
                <c:pt idx="596">
                  <c:v>262</c:v>
                </c:pt>
                <c:pt idx="597">
                  <c:v>262</c:v>
                </c:pt>
                <c:pt idx="598">
                  <c:v>262</c:v>
                </c:pt>
                <c:pt idx="599">
                  <c:v>262</c:v>
                </c:pt>
                <c:pt idx="600">
                  <c:v>262</c:v>
                </c:pt>
                <c:pt idx="601">
                  <c:v>262</c:v>
                </c:pt>
                <c:pt idx="602">
                  <c:v>262</c:v>
                </c:pt>
                <c:pt idx="603">
                  <c:v>262</c:v>
                </c:pt>
                <c:pt idx="604">
                  <c:v>262</c:v>
                </c:pt>
                <c:pt idx="605">
                  <c:v>262</c:v>
                </c:pt>
                <c:pt idx="606">
                  <c:v>262</c:v>
                </c:pt>
                <c:pt idx="607">
                  <c:v>262</c:v>
                </c:pt>
                <c:pt idx="608">
                  <c:v>264</c:v>
                </c:pt>
                <c:pt idx="609">
                  <c:v>264</c:v>
                </c:pt>
                <c:pt idx="610">
                  <c:v>264</c:v>
                </c:pt>
                <c:pt idx="611">
                  <c:v>264</c:v>
                </c:pt>
                <c:pt idx="612">
                  <c:v>264</c:v>
                </c:pt>
                <c:pt idx="613">
                  <c:v>265</c:v>
                </c:pt>
                <c:pt idx="614">
                  <c:v>264</c:v>
                </c:pt>
                <c:pt idx="615">
                  <c:v>265</c:v>
                </c:pt>
                <c:pt idx="616">
                  <c:v>264</c:v>
                </c:pt>
                <c:pt idx="617">
                  <c:v>264</c:v>
                </c:pt>
                <c:pt idx="618">
                  <c:v>264</c:v>
                </c:pt>
                <c:pt idx="619">
                  <c:v>264</c:v>
                </c:pt>
                <c:pt idx="620">
                  <c:v>264</c:v>
                </c:pt>
                <c:pt idx="621">
                  <c:v>264</c:v>
                </c:pt>
                <c:pt idx="622">
                  <c:v>264</c:v>
                </c:pt>
                <c:pt idx="623">
                  <c:v>267</c:v>
                </c:pt>
                <c:pt idx="624">
                  <c:v>267</c:v>
                </c:pt>
                <c:pt idx="625">
                  <c:v>267</c:v>
                </c:pt>
                <c:pt idx="626">
                  <c:v>267</c:v>
                </c:pt>
                <c:pt idx="627">
                  <c:v>267</c:v>
                </c:pt>
                <c:pt idx="628">
                  <c:v>267</c:v>
                </c:pt>
                <c:pt idx="629">
                  <c:v>267</c:v>
                </c:pt>
                <c:pt idx="630">
                  <c:v>267</c:v>
                </c:pt>
                <c:pt idx="631">
                  <c:v>267</c:v>
                </c:pt>
                <c:pt idx="632">
                  <c:v>267</c:v>
                </c:pt>
                <c:pt idx="633">
                  <c:v>269</c:v>
                </c:pt>
                <c:pt idx="634">
                  <c:v>269</c:v>
                </c:pt>
                <c:pt idx="635">
                  <c:v>269</c:v>
                </c:pt>
                <c:pt idx="636">
                  <c:v>269</c:v>
                </c:pt>
                <c:pt idx="637">
                  <c:v>269</c:v>
                </c:pt>
                <c:pt idx="638">
                  <c:v>269</c:v>
                </c:pt>
                <c:pt idx="639">
                  <c:v>269</c:v>
                </c:pt>
                <c:pt idx="640">
                  <c:v>271</c:v>
                </c:pt>
                <c:pt idx="641">
                  <c:v>271</c:v>
                </c:pt>
                <c:pt idx="642">
                  <c:v>271</c:v>
                </c:pt>
                <c:pt idx="643">
                  <c:v>271</c:v>
                </c:pt>
                <c:pt idx="644">
                  <c:v>271</c:v>
                </c:pt>
                <c:pt idx="645">
                  <c:v>271</c:v>
                </c:pt>
                <c:pt idx="646">
                  <c:v>271</c:v>
                </c:pt>
                <c:pt idx="647">
                  <c:v>271</c:v>
                </c:pt>
                <c:pt idx="648">
                  <c:v>271</c:v>
                </c:pt>
                <c:pt idx="649">
                  <c:v>271</c:v>
                </c:pt>
                <c:pt idx="650">
                  <c:v>271</c:v>
                </c:pt>
                <c:pt idx="651">
                  <c:v>271</c:v>
                </c:pt>
                <c:pt idx="652">
                  <c:v>274</c:v>
                </c:pt>
                <c:pt idx="653">
                  <c:v>274</c:v>
                </c:pt>
                <c:pt idx="654">
                  <c:v>274</c:v>
                </c:pt>
                <c:pt idx="655">
                  <c:v>274</c:v>
                </c:pt>
                <c:pt idx="656">
                  <c:v>274</c:v>
                </c:pt>
                <c:pt idx="657">
                  <c:v>274</c:v>
                </c:pt>
                <c:pt idx="658">
                  <c:v>274</c:v>
                </c:pt>
                <c:pt idx="659">
                  <c:v>274</c:v>
                </c:pt>
                <c:pt idx="660">
                  <c:v>274</c:v>
                </c:pt>
                <c:pt idx="661">
                  <c:v>276</c:v>
                </c:pt>
                <c:pt idx="662">
                  <c:v>276</c:v>
                </c:pt>
                <c:pt idx="663">
                  <c:v>276</c:v>
                </c:pt>
                <c:pt idx="664">
                  <c:v>276</c:v>
                </c:pt>
                <c:pt idx="665">
                  <c:v>276</c:v>
                </c:pt>
                <c:pt idx="666">
                  <c:v>276</c:v>
                </c:pt>
                <c:pt idx="667">
                  <c:v>276</c:v>
                </c:pt>
                <c:pt idx="668">
                  <c:v>324</c:v>
                </c:pt>
                <c:pt idx="669">
                  <c:v>276</c:v>
                </c:pt>
                <c:pt idx="670">
                  <c:v>276</c:v>
                </c:pt>
                <c:pt idx="671">
                  <c:v>278</c:v>
                </c:pt>
                <c:pt idx="672">
                  <c:v>278</c:v>
                </c:pt>
                <c:pt idx="673">
                  <c:v>278</c:v>
                </c:pt>
                <c:pt idx="674">
                  <c:v>278</c:v>
                </c:pt>
                <c:pt idx="675">
                  <c:v>278</c:v>
                </c:pt>
                <c:pt idx="676">
                  <c:v>278</c:v>
                </c:pt>
                <c:pt idx="677">
                  <c:v>278</c:v>
                </c:pt>
                <c:pt idx="678">
                  <c:v>278</c:v>
                </c:pt>
                <c:pt idx="679">
                  <c:v>281</c:v>
                </c:pt>
                <c:pt idx="680">
                  <c:v>281</c:v>
                </c:pt>
                <c:pt idx="681">
                  <c:v>281</c:v>
                </c:pt>
                <c:pt idx="682">
                  <c:v>281</c:v>
                </c:pt>
                <c:pt idx="683">
                  <c:v>195</c:v>
                </c:pt>
                <c:pt idx="684">
                  <c:v>281</c:v>
                </c:pt>
                <c:pt idx="685">
                  <c:v>281</c:v>
                </c:pt>
                <c:pt idx="686">
                  <c:v>281</c:v>
                </c:pt>
                <c:pt idx="687">
                  <c:v>281</c:v>
                </c:pt>
                <c:pt idx="688">
                  <c:v>281</c:v>
                </c:pt>
                <c:pt idx="689">
                  <c:v>283</c:v>
                </c:pt>
                <c:pt idx="690">
                  <c:v>283</c:v>
                </c:pt>
                <c:pt idx="691">
                  <c:v>283</c:v>
                </c:pt>
                <c:pt idx="692">
                  <c:v>283</c:v>
                </c:pt>
                <c:pt idx="693">
                  <c:v>283</c:v>
                </c:pt>
                <c:pt idx="694">
                  <c:v>283</c:v>
                </c:pt>
                <c:pt idx="695">
                  <c:v>283</c:v>
                </c:pt>
                <c:pt idx="696">
                  <c:v>283</c:v>
                </c:pt>
                <c:pt idx="697">
                  <c:v>283</c:v>
                </c:pt>
                <c:pt idx="698">
                  <c:v>283</c:v>
                </c:pt>
                <c:pt idx="699">
                  <c:v>283</c:v>
                </c:pt>
                <c:pt idx="700">
                  <c:v>283</c:v>
                </c:pt>
                <c:pt idx="701">
                  <c:v>283</c:v>
                </c:pt>
                <c:pt idx="702">
                  <c:v>283</c:v>
                </c:pt>
                <c:pt idx="703">
                  <c:v>283</c:v>
                </c:pt>
                <c:pt idx="704">
                  <c:v>285</c:v>
                </c:pt>
                <c:pt idx="705">
                  <c:v>285</c:v>
                </c:pt>
                <c:pt idx="706">
                  <c:v>285</c:v>
                </c:pt>
                <c:pt idx="707">
                  <c:v>285</c:v>
                </c:pt>
                <c:pt idx="708">
                  <c:v>285</c:v>
                </c:pt>
                <c:pt idx="709">
                  <c:v>285</c:v>
                </c:pt>
                <c:pt idx="710">
                  <c:v>285</c:v>
                </c:pt>
                <c:pt idx="711">
                  <c:v>285</c:v>
                </c:pt>
                <c:pt idx="712">
                  <c:v>288</c:v>
                </c:pt>
                <c:pt idx="713">
                  <c:v>288</c:v>
                </c:pt>
                <c:pt idx="714">
                  <c:v>288</c:v>
                </c:pt>
                <c:pt idx="715">
                  <c:v>288</c:v>
                </c:pt>
                <c:pt idx="716">
                  <c:v>288</c:v>
                </c:pt>
                <c:pt idx="717">
                  <c:v>290</c:v>
                </c:pt>
                <c:pt idx="718">
                  <c:v>290</c:v>
                </c:pt>
                <c:pt idx="719">
                  <c:v>290</c:v>
                </c:pt>
                <c:pt idx="720">
                  <c:v>290</c:v>
                </c:pt>
                <c:pt idx="721">
                  <c:v>290</c:v>
                </c:pt>
                <c:pt idx="722">
                  <c:v>290</c:v>
                </c:pt>
                <c:pt idx="723">
                  <c:v>290</c:v>
                </c:pt>
                <c:pt idx="724">
                  <c:v>290</c:v>
                </c:pt>
                <c:pt idx="725">
                  <c:v>290</c:v>
                </c:pt>
                <c:pt idx="726">
                  <c:v>290</c:v>
                </c:pt>
                <c:pt idx="727">
                  <c:v>290</c:v>
                </c:pt>
                <c:pt idx="728">
                  <c:v>290</c:v>
                </c:pt>
                <c:pt idx="729">
                  <c:v>292</c:v>
                </c:pt>
                <c:pt idx="730">
                  <c:v>292</c:v>
                </c:pt>
                <c:pt idx="731">
                  <c:v>292</c:v>
                </c:pt>
                <c:pt idx="732">
                  <c:v>292</c:v>
                </c:pt>
                <c:pt idx="733">
                  <c:v>292</c:v>
                </c:pt>
                <c:pt idx="734">
                  <c:v>292</c:v>
                </c:pt>
                <c:pt idx="735">
                  <c:v>292</c:v>
                </c:pt>
                <c:pt idx="736">
                  <c:v>292</c:v>
                </c:pt>
                <c:pt idx="737">
                  <c:v>292</c:v>
                </c:pt>
                <c:pt idx="738">
                  <c:v>292</c:v>
                </c:pt>
                <c:pt idx="739">
                  <c:v>292</c:v>
                </c:pt>
                <c:pt idx="740">
                  <c:v>292</c:v>
                </c:pt>
                <c:pt idx="741">
                  <c:v>292</c:v>
                </c:pt>
                <c:pt idx="742">
                  <c:v>292</c:v>
                </c:pt>
                <c:pt idx="743">
                  <c:v>292</c:v>
                </c:pt>
                <c:pt idx="744">
                  <c:v>292</c:v>
                </c:pt>
                <c:pt idx="745">
                  <c:v>292</c:v>
                </c:pt>
                <c:pt idx="746">
                  <c:v>292</c:v>
                </c:pt>
                <c:pt idx="747">
                  <c:v>294</c:v>
                </c:pt>
                <c:pt idx="748">
                  <c:v>294</c:v>
                </c:pt>
                <c:pt idx="749">
                  <c:v>294</c:v>
                </c:pt>
                <c:pt idx="750">
                  <c:v>294</c:v>
                </c:pt>
                <c:pt idx="751">
                  <c:v>294</c:v>
                </c:pt>
                <c:pt idx="752">
                  <c:v>294</c:v>
                </c:pt>
                <c:pt idx="753">
                  <c:v>294</c:v>
                </c:pt>
                <c:pt idx="754">
                  <c:v>294</c:v>
                </c:pt>
                <c:pt idx="755">
                  <c:v>294</c:v>
                </c:pt>
                <c:pt idx="756">
                  <c:v>294</c:v>
                </c:pt>
                <c:pt idx="757">
                  <c:v>294</c:v>
                </c:pt>
                <c:pt idx="758">
                  <c:v>294</c:v>
                </c:pt>
                <c:pt idx="759">
                  <c:v>294</c:v>
                </c:pt>
                <c:pt idx="760">
                  <c:v>294</c:v>
                </c:pt>
                <c:pt idx="761">
                  <c:v>294</c:v>
                </c:pt>
                <c:pt idx="762">
                  <c:v>294</c:v>
                </c:pt>
                <c:pt idx="763">
                  <c:v>297</c:v>
                </c:pt>
                <c:pt idx="764">
                  <c:v>297</c:v>
                </c:pt>
                <c:pt idx="765">
                  <c:v>297</c:v>
                </c:pt>
                <c:pt idx="766">
                  <c:v>297</c:v>
                </c:pt>
                <c:pt idx="767">
                  <c:v>297</c:v>
                </c:pt>
                <c:pt idx="768">
                  <c:v>297</c:v>
                </c:pt>
                <c:pt idx="769">
                  <c:v>297</c:v>
                </c:pt>
                <c:pt idx="770">
                  <c:v>297</c:v>
                </c:pt>
                <c:pt idx="771">
                  <c:v>297</c:v>
                </c:pt>
                <c:pt idx="772">
                  <c:v>297</c:v>
                </c:pt>
                <c:pt idx="773">
                  <c:v>297</c:v>
                </c:pt>
                <c:pt idx="774">
                  <c:v>297</c:v>
                </c:pt>
                <c:pt idx="775">
                  <c:v>299</c:v>
                </c:pt>
                <c:pt idx="776">
                  <c:v>299</c:v>
                </c:pt>
                <c:pt idx="777">
                  <c:v>299</c:v>
                </c:pt>
                <c:pt idx="778">
                  <c:v>299</c:v>
                </c:pt>
                <c:pt idx="779">
                  <c:v>301</c:v>
                </c:pt>
                <c:pt idx="780">
                  <c:v>301</c:v>
                </c:pt>
                <c:pt idx="781">
                  <c:v>301</c:v>
                </c:pt>
                <c:pt idx="782">
                  <c:v>301</c:v>
                </c:pt>
                <c:pt idx="783">
                  <c:v>301</c:v>
                </c:pt>
                <c:pt idx="784">
                  <c:v>301</c:v>
                </c:pt>
                <c:pt idx="785">
                  <c:v>301</c:v>
                </c:pt>
                <c:pt idx="786">
                  <c:v>301</c:v>
                </c:pt>
                <c:pt idx="787">
                  <c:v>304</c:v>
                </c:pt>
                <c:pt idx="788">
                  <c:v>304</c:v>
                </c:pt>
                <c:pt idx="789">
                  <c:v>304</c:v>
                </c:pt>
                <c:pt idx="790">
                  <c:v>304</c:v>
                </c:pt>
                <c:pt idx="791">
                  <c:v>304</c:v>
                </c:pt>
                <c:pt idx="792">
                  <c:v>306</c:v>
                </c:pt>
                <c:pt idx="793">
                  <c:v>306</c:v>
                </c:pt>
                <c:pt idx="794">
                  <c:v>306</c:v>
                </c:pt>
                <c:pt idx="795">
                  <c:v>306</c:v>
                </c:pt>
                <c:pt idx="796">
                  <c:v>306</c:v>
                </c:pt>
                <c:pt idx="797">
                  <c:v>306</c:v>
                </c:pt>
                <c:pt idx="798">
                  <c:v>306</c:v>
                </c:pt>
                <c:pt idx="799">
                  <c:v>306</c:v>
                </c:pt>
                <c:pt idx="800">
                  <c:v>308</c:v>
                </c:pt>
                <c:pt idx="801">
                  <c:v>308</c:v>
                </c:pt>
                <c:pt idx="802">
                  <c:v>308</c:v>
                </c:pt>
                <c:pt idx="803">
                  <c:v>308</c:v>
                </c:pt>
                <c:pt idx="804">
                  <c:v>308</c:v>
                </c:pt>
                <c:pt idx="805">
                  <c:v>308</c:v>
                </c:pt>
                <c:pt idx="806">
                  <c:v>308</c:v>
                </c:pt>
                <c:pt idx="807">
                  <c:v>308</c:v>
                </c:pt>
                <c:pt idx="808">
                  <c:v>308</c:v>
                </c:pt>
                <c:pt idx="809">
                  <c:v>308</c:v>
                </c:pt>
                <c:pt idx="810">
                  <c:v>310</c:v>
                </c:pt>
                <c:pt idx="811">
                  <c:v>310</c:v>
                </c:pt>
                <c:pt idx="812">
                  <c:v>310</c:v>
                </c:pt>
                <c:pt idx="813">
                  <c:v>310</c:v>
                </c:pt>
                <c:pt idx="814">
                  <c:v>310</c:v>
                </c:pt>
                <c:pt idx="815">
                  <c:v>313</c:v>
                </c:pt>
                <c:pt idx="816">
                  <c:v>313</c:v>
                </c:pt>
                <c:pt idx="817">
                  <c:v>315</c:v>
                </c:pt>
                <c:pt idx="818">
                  <c:v>315</c:v>
                </c:pt>
                <c:pt idx="819">
                  <c:v>315</c:v>
                </c:pt>
                <c:pt idx="820">
                  <c:v>315</c:v>
                </c:pt>
                <c:pt idx="821">
                  <c:v>315</c:v>
                </c:pt>
                <c:pt idx="822">
                  <c:v>317</c:v>
                </c:pt>
                <c:pt idx="823">
                  <c:v>317</c:v>
                </c:pt>
                <c:pt idx="824">
                  <c:v>317</c:v>
                </c:pt>
                <c:pt idx="825">
                  <c:v>317</c:v>
                </c:pt>
                <c:pt idx="826">
                  <c:v>317</c:v>
                </c:pt>
                <c:pt idx="827">
                  <c:v>317</c:v>
                </c:pt>
                <c:pt idx="828">
                  <c:v>317</c:v>
                </c:pt>
                <c:pt idx="829">
                  <c:v>317</c:v>
                </c:pt>
                <c:pt idx="830">
                  <c:v>317</c:v>
                </c:pt>
                <c:pt idx="831">
                  <c:v>317</c:v>
                </c:pt>
                <c:pt idx="832">
                  <c:v>317</c:v>
                </c:pt>
                <c:pt idx="833">
                  <c:v>317</c:v>
                </c:pt>
                <c:pt idx="834">
                  <c:v>317</c:v>
                </c:pt>
                <c:pt idx="835">
                  <c:v>317</c:v>
                </c:pt>
                <c:pt idx="836">
                  <c:v>317</c:v>
                </c:pt>
                <c:pt idx="837">
                  <c:v>317</c:v>
                </c:pt>
                <c:pt idx="838">
                  <c:v>320</c:v>
                </c:pt>
                <c:pt idx="839">
                  <c:v>320</c:v>
                </c:pt>
                <c:pt idx="840">
                  <c:v>222</c:v>
                </c:pt>
                <c:pt idx="841">
                  <c:v>320</c:v>
                </c:pt>
                <c:pt idx="842">
                  <c:v>222</c:v>
                </c:pt>
                <c:pt idx="843">
                  <c:v>320</c:v>
                </c:pt>
                <c:pt idx="844">
                  <c:v>320</c:v>
                </c:pt>
                <c:pt idx="845">
                  <c:v>320</c:v>
                </c:pt>
                <c:pt idx="846">
                  <c:v>322</c:v>
                </c:pt>
                <c:pt idx="847">
                  <c:v>224</c:v>
                </c:pt>
                <c:pt idx="848">
                  <c:v>322</c:v>
                </c:pt>
                <c:pt idx="849">
                  <c:v>322</c:v>
                </c:pt>
                <c:pt idx="850">
                  <c:v>324</c:v>
                </c:pt>
                <c:pt idx="851">
                  <c:v>324</c:v>
                </c:pt>
                <c:pt idx="852">
                  <c:v>324</c:v>
                </c:pt>
                <c:pt idx="853">
                  <c:v>324</c:v>
                </c:pt>
                <c:pt idx="854">
                  <c:v>327</c:v>
                </c:pt>
                <c:pt idx="855">
                  <c:v>327</c:v>
                </c:pt>
                <c:pt idx="856">
                  <c:v>327</c:v>
                </c:pt>
                <c:pt idx="857">
                  <c:v>229</c:v>
                </c:pt>
                <c:pt idx="858">
                  <c:v>329</c:v>
                </c:pt>
                <c:pt idx="859">
                  <c:v>229</c:v>
                </c:pt>
                <c:pt idx="860">
                  <c:v>329</c:v>
                </c:pt>
                <c:pt idx="861">
                  <c:v>329</c:v>
                </c:pt>
                <c:pt idx="862">
                  <c:v>230</c:v>
                </c:pt>
                <c:pt idx="863">
                  <c:v>230</c:v>
                </c:pt>
                <c:pt idx="864">
                  <c:v>230</c:v>
                </c:pt>
                <c:pt idx="865">
                  <c:v>331</c:v>
                </c:pt>
                <c:pt idx="866">
                  <c:v>334</c:v>
                </c:pt>
                <c:pt idx="867">
                  <c:v>334</c:v>
                </c:pt>
                <c:pt idx="868">
                  <c:v>334</c:v>
                </c:pt>
                <c:pt idx="869">
                  <c:v>336</c:v>
                </c:pt>
                <c:pt idx="870">
                  <c:v>336</c:v>
                </c:pt>
                <c:pt idx="871">
                  <c:v>336</c:v>
                </c:pt>
                <c:pt idx="872">
                  <c:v>336</c:v>
                </c:pt>
                <c:pt idx="873">
                  <c:v>338</c:v>
                </c:pt>
                <c:pt idx="874">
                  <c:v>338</c:v>
                </c:pt>
                <c:pt idx="875">
                  <c:v>338</c:v>
                </c:pt>
                <c:pt idx="876">
                  <c:v>338</c:v>
                </c:pt>
                <c:pt idx="877">
                  <c:v>338</c:v>
                </c:pt>
                <c:pt idx="878">
                  <c:v>338</c:v>
                </c:pt>
                <c:pt idx="879">
                  <c:v>338</c:v>
                </c:pt>
                <c:pt idx="880">
                  <c:v>338</c:v>
                </c:pt>
                <c:pt idx="881">
                  <c:v>338</c:v>
                </c:pt>
                <c:pt idx="882">
                  <c:v>340</c:v>
                </c:pt>
                <c:pt idx="883">
                  <c:v>340</c:v>
                </c:pt>
                <c:pt idx="884">
                  <c:v>340</c:v>
                </c:pt>
                <c:pt idx="885">
                  <c:v>340</c:v>
                </c:pt>
                <c:pt idx="886">
                  <c:v>237</c:v>
                </c:pt>
                <c:pt idx="887">
                  <c:v>237</c:v>
                </c:pt>
                <c:pt idx="888">
                  <c:v>340</c:v>
                </c:pt>
                <c:pt idx="889">
                  <c:v>340</c:v>
                </c:pt>
                <c:pt idx="890">
                  <c:v>340</c:v>
                </c:pt>
                <c:pt idx="891">
                  <c:v>343</c:v>
                </c:pt>
                <c:pt idx="892">
                  <c:v>345</c:v>
                </c:pt>
                <c:pt idx="893">
                  <c:v>345</c:v>
                </c:pt>
                <c:pt idx="894">
                  <c:v>347</c:v>
                </c:pt>
                <c:pt idx="895">
                  <c:v>347</c:v>
                </c:pt>
                <c:pt idx="896">
                  <c:v>347</c:v>
                </c:pt>
                <c:pt idx="897">
                  <c:v>347</c:v>
                </c:pt>
                <c:pt idx="898">
                  <c:v>347</c:v>
                </c:pt>
                <c:pt idx="899">
                  <c:v>347</c:v>
                </c:pt>
                <c:pt idx="900">
                  <c:v>347</c:v>
                </c:pt>
                <c:pt idx="901">
                  <c:v>350</c:v>
                </c:pt>
                <c:pt idx="902">
                  <c:v>352</c:v>
                </c:pt>
                <c:pt idx="903">
                  <c:v>352</c:v>
                </c:pt>
                <c:pt idx="904">
                  <c:v>354</c:v>
                </c:pt>
                <c:pt idx="905">
                  <c:v>354</c:v>
                </c:pt>
                <c:pt idx="906">
                  <c:v>354</c:v>
                </c:pt>
                <c:pt idx="907">
                  <c:v>354</c:v>
                </c:pt>
                <c:pt idx="908">
                  <c:v>354</c:v>
                </c:pt>
                <c:pt idx="909">
                  <c:v>354</c:v>
                </c:pt>
                <c:pt idx="910">
                  <c:v>354</c:v>
                </c:pt>
                <c:pt idx="911">
                  <c:v>356</c:v>
                </c:pt>
                <c:pt idx="912">
                  <c:v>356</c:v>
                </c:pt>
                <c:pt idx="913">
                  <c:v>356</c:v>
                </c:pt>
                <c:pt idx="914">
                  <c:v>356</c:v>
                </c:pt>
                <c:pt idx="915">
                  <c:v>359</c:v>
                </c:pt>
                <c:pt idx="916">
                  <c:v>359</c:v>
                </c:pt>
                <c:pt idx="917">
                  <c:v>359</c:v>
                </c:pt>
                <c:pt idx="918">
                  <c:v>250</c:v>
                </c:pt>
                <c:pt idx="919">
                  <c:v>250</c:v>
                </c:pt>
                <c:pt idx="920">
                  <c:v>250</c:v>
                </c:pt>
                <c:pt idx="921">
                  <c:v>359</c:v>
                </c:pt>
                <c:pt idx="922">
                  <c:v>359</c:v>
                </c:pt>
                <c:pt idx="923">
                  <c:v>359</c:v>
                </c:pt>
                <c:pt idx="924">
                  <c:v>361</c:v>
                </c:pt>
                <c:pt idx="925">
                  <c:v>251</c:v>
                </c:pt>
                <c:pt idx="926">
                  <c:v>251</c:v>
                </c:pt>
                <c:pt idx="927">
                  <c:v>361</c:v>
                </c:pt>
                <c:pt idx="928">
                  <c:v>361</c:v>
                </c:pt>
                <c:pt idx="929">
                  <c:v>361</c:v>
                </c:pt>
                <c:pt idx="930">
                  <c:v>363</c:v>
                </c:pt>
                <c:pt idx="931">
                  <c:v>363</c:v>
                </c:pt>
                <c:pt idx="932">
                  <c:v>366</c:v>
                </c:pt>
                <c:pt idx="933">
                  <c:v>254</c:v>
                </c:pt>
                <c:pt idx="934">
                  <c:v>366</c:v>
                </c:pt>
                <c:pt idx="935">
                  <c:v>366</c:v>
                </c:pt>
                <c:pt idx="936">
                  <c:v>254</c:v>
                </c:pt>
                <c:pt idx="937">
                  <c:v>368</c:v>
                </c:pt>
                <c:pt idx="938">
                  <c:v>368</c:v>
                </c:pt>
                <c:pt idx="939">
                  <c:v>256</c:v>
                </c:pt>
                <c:pt idx="940">
                  <c:v>368</c:v>
                </c:pt>
                <c:pt idx="941">
                  <c:v>368</c:v>
                </c:pt>
                <c:pt idx="942">
                  <c:v>370</c:v>
                </c:pt>
                <c:pt idx="943">
                  <c:v>259</c:v>
                </c:pt>
                <c:pt idx="944">
                  <c:v>259</c:v>
                </c:pt>
                <c:pt idx="945">
                  <c:v>373</c:v>
                </c:pt>
                <c:pt idx="946">
                  <c:v>259</c:v>
                </c:pt>
                <c:pt idx="947">
                  <c:v>373</c:v>
                </c:pt>
                <c:pt idx="948">
                  <c:v>377</c:v>
                </c:pt>
                <c:pt idx="949">
                  <c:v>377</c:v>
                </c:pt>
                <c:pt idx="950">
                  <c:v>380</c:v>
                </c:pt>
                <c:pt idx="951">
                  <c:v>380</c:v>
                </c:pt>
                <c:pt idx="952">
                  <c:v>380</c:v>
                </c:pt>
                <c:pt idx="953">
                  <c:v>264</c:v>
                </c:pt>
                <c:pt idx="954">
                  <c:v>380</c:v>
                </c:pt>
                <c:pt idx="955">
                  <c:v>380</c:v>
                </c:pt>
                <c:pt idx="956">
                  <c:v>380</c:v>
                </c:pt>
                <c:pt idx="957">
                  <c:v>380</c:v>
                </c:pt>
                <c:pt idx="958">
                  <c:v>380</c:v>
                </c:pt>
                <c:pt idx="959">
                  <c:v>264</c:v>
                </c:pt>
                <c:pt idx="960">
                  <c:v>264</c:v>
                </c:pt>
                <c:pt idx="961">
                  <c:v>264</c:v>
                </c:pt>
                <c:pt idx="962">
                  <c:v>380</c:v>
                </c:pt>
                <c:pt idx="963">
                  <c:v>380</c:v>
                </c:pt>
                <c:pt idx="964">
                  <c:v>380</c:v>
                </c:pt>
                <c:pt idx="965">
                  <c:v>380</c:v>
                </c:pt>
                <c:pt idx="966">
                  <c:v>380</c:v>
                </c:pt>
                <c:pt idx="967">
                  <c:v>380</c:v>
                </c:pt>
                <c:pt idx="968">
                  <c:v>380</c:v>
                </c:pt>
                <c:pt idx="969">
                  <c:v>380</c:v>
                </c:pt>
                <c:pt idx="970">
                  <c:v>382</c:v>
                </c:pt>
                <c:pt idx="971">
                  <c:v>382</c:v>
                </c:pt>
                <c:pt idx="972">
                  <c:v>382</c:v>
                </c:pt>
                <c:pt idx="973">
                  <c:v>382</c:v>
                </c:pt>
                <c:pt idx="974">
                  <c:v>267</c:v>
                </c:pt>
                <c:pt idx="975">
                  <c:v>384</c:v>
                </c:pt>
                <c:pt idx="976">
                  <c:v>269</c:v>
                </c:pt>
                <c:pt idx="977">
                  <c:v>269</c:v>
                </c:pt>
                <c:pt idx="978">
                  <c:v>386</c:v>
                </c:pt>
                <c:pt idx="979">
                  <c:v>269</c:v>
                </c:pt>
                <c:pt idx="980">
                  <c:v>269</c:v>
                </c:pt>
                <c:pt idx="981">
                  <c:v>270</c:v>
                </c:pt>
                <c:pt idx="982">
                  <c:v>270</c:v>
                </c:pt>
                <c:pt idx="983">
                  <c:v>389</c:v>
                </c:pt>
                <c:pt idx="984">
                  <c:v>389</c:v>
                </c:pt>
                <c:pt idx="985">
                  <c:v>272</c:v>
                </c:pt>
                <c:pt idx="986">
                  <c:v>272</c:v>
                </c:pt>
                <c:pt idx="987">
                  <c:v>393</c:v>
                </c:pt>
                <c:pt idx="988">
                  <c:v>393</c:v>
                </c:pt>
                <c:pt idx="989">
                  <c:v>393</c:v>
                </c:pt>
                <c:pt idx="990">
                  <c:v>393</c:v>
                </c:pt>
                <c:pt idx="991">
                  <c:v>396</c:v>
                </c:pt>
                <c:pt idx="992">
                  <c:v>277</c:v>
                </c:pt>
                <c:pt idx="993">
                  <c:v>277</c:v>
                </c:pt>
                <c:pt idx="994">
                  <c:v>277</c:v>
                </c:pt>
                <c:pt idx="995">
                  <c:v>398</c:v>
                </c:pt>
                <c:pt idx="996">
                  <c:v>400</c:v>
                </c:pt>
                <c:pt idx="997">
                  <c:v>278</c:v>
                </c:pt>
                <c:pt idx="998">
                  <c:v>402</c:v>
                </c:pt>
                <c:pt idx="999">
                  <c:v>280</c:v>
                </c:pt>
                <c:pt idx="1000">
                  <c:v>280</c:v>
                </c:pt>
                <c:pt idx="1001">
                  <c:v>407</c:v>
                </c:pt>
                <c:pt idx="1002">
                  <c:v>407</c:v>
                </c:pt>
                <c:pt idx="1003">
                  <c:v>407</c:v>
                </c:pt>
                <c:pt idx="1004">
                  <c:v>409</c:v>
                </c:pt>
                <c:pt idx="1005">
                  <c:v>409</c:v>
                </c:pt>
                <c:pt idx="1006">
                  <c:v>285</c:v>
                </c:pt>
                <c:pt idx="1007">
                  <c:v>285</c:v>
                </c:pt>
                <c:pt idx="1008">
                  <c:v>285</c:v>
                </c:pt>
                <c:pt idx="1009">
                  <c:v>414</c:v>
                </c:pt>
                <c:pt idx="1010">
                  <c:v>288</c:v>
                </c:pt>
                <c:pt idx="1011">
                  <c:v>288</c:v>
                </c:pt>
                <c:pt idx="1012">
                  <c:v>414</c:v>
                </c:pt>
                <c:pt idx="1013">
                  <c:v>414</c:v>
                </c:pt>
                <c:pt idx="1014">
                  <c:v>290</c:v>
                </c:pt>
                <c:pt idx="1015">
                  <c:v>419</c:v>
                </c:pt>
                <c:pt idx="1016">
                  <c:v>419</c:v>
                </c:pt>
                <c:pt idx="1017">
                  <c:v>419</c:v>
                </c:pt>
                <c:pt idx="1018">
                  <c:v>421</c:v>
                </c:pt>
                <c:pt idx="1019">
                  <c:v>421</c:v>
                </c:pt>
                <c:pt idx="1020">
                  <c:v>294</c:v>
                </c:pt>
                <c:pt idx="1021">
                  <c:v>294</c:v>
                </c:pt>
                <c:pt idx="1022">
                  <c:v>294</c:v>
                </c:pt>
                <c:pt idx="1023">
                  <c:v>294</c:v>
                </c:pt>
                <c:pt idx="1024">
                  <c:v>294</c:v>
                </c:pt>
                <c:pt idx="1025">
                  <c:v>294</c:v>
                </c:pt>
                <c:pt idx="1026">
                  <c:v>294</c:v>
                </c:pt>
                <c:pt idx="1027">
                  <c:v>294</c:v>
                </c:pt>
                <c:pt idx="1028">
                  <c:v>432</c:v>
                </c:pt>
                <c:pt idx="1029">
                  <c:v>432</c:v>
                </c:pt>
                <c:pt idx="1030">
                  <c:v>435</c:v>
                </c:pt>
                <c:pt idx="1031">
                  <c:v>435</c:v>
                </c:pt>
                <c:pt idx="1032">
                  <c:v>437</c:v>
                </c:pt>
                <c:pt idx="1033">
                  <c:v>315</c:v>
                </c:pt>
                <c:pt idx="1034">
                  <c:v>315</c:v>
                </c:pt>
                <c:pt idx="1035">
                  <c:v>318</c:v>
                </c:pt>
                <c:pt idx="1036">
                  <c:v>320</c:v>
                </c:pt>
                <c:pt idx="1037">
                  <c:v>322</c:v>
                </c:pt>
                <c:pt idx="1038">
                  <c:v>322</c:v>
                </c:pt>
                <c:pt idx="1039">
                  <c:v>331</c:v>
                </c:pt>
                <c:pt idx="1040">
                  <c:v>334</c:v>
                </c:pt>
                <c:pt idx="1041">
                  <c:v>334</c:v>
                </c:pt>
                <c:pt idx="1042">
                  <c:v>488</c:v>
                </c:pt>
                <c:pt idx="1043">
                  <c:v>342</c:v>
                </c:pt>
                <c:pt idx="1044">
                  <c:v>342</c:v>
                </c:pt>
                <c:pt idx="1045">
                  <c:v>344</c:v>
                </c:pt>
                <c:pt idx="1046">
                  <c:v>344</c:v>
                </c:pt>
                <c:pt idx="1047">
                  <c:v>344</c:v>
                </c:pt>
                <c:pt idx="1048">
                  <c:v>344</c:v>
                </c:pt>
                <c:pt idx="1049">
                  <c:v>344</c:v>
                </c:pt>
                <c:pt idx="1050">
                  <c:v>344</c:v>
                </c:pt>
                <c:pt idx="1051">
                  <c:v>346</c:v>
                </c:pt>
                <c:pt idx="1052">
                  <c:v>346</c:v>
                </c:pt>
                <c:pt idx="1053">
                  <c:v>350</c:v>
                </c:pt>
                <c:pt idx="1054">
                  <c:v>354</c:v>
                </c:pt>
                <c:pt idx="1055">
                  <c:v>354</c:v>
                </c:pt>
                <c:pt idx="1056">
                  <c:v>360</c:v>
                </c:pt>
                <c:pt idx="1057">
                  <c:v>362</c:v>
                </c:pt>
                <c:pt idx="1058">
                  <c:v>362</c:v>
                </c:pt>
                <c:pt idx="1059">
                  <c:v>362</c:v>
                </c:pt>
                <c:pt idx="1060">
                  <c:v>362</c:v>
                </c:pt>
                <c:pt idx="1061">
                  <c:v>368</c:v>
                </c:pt>
                <c:pt idx="1062">
                  <c:v>382</c:v>
                </c:pt>
                <c:pt idx="1063">
                  <c:v>411</c:v>
                </c:pt>
                <c:pt idx="1064">
                  <c:v>411</c:v>
                </c:pt>
                <c:pt idx="1065">
                  <c:v>413</c:v>
                </c:pt>
                <c:pt idx="1066">
                  <c:v>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37-44BE-8FEF-1EA409716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098024"/>
        <c:axId val="457095864"/>
      </c:scatterChart>
      <c:valAx>
        <c:axId val="45709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Engine</a:t>
                </a:r>
                <a:r>
                  <a:rPr lang="en-GB" baseline="0"/>
                  <a:t>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095864"/>
        <c:crosses val="autoZero"/>
        <c:crossBetween val="midCat"/>
      </c:valAx>
      <c:valAx>
        <c:axId val="45709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</a:t>
                </a:r>
                <a:r>
                  <a:rPr lang="en-GB" baseline="0"/>
                  <a:t> Emission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098024"/>
        <c:crosses val="autoZero"/>
        <c:crossBetween val="midCat"/>
      </c:valAx>
      <c:spPr>
        <a:noFill/>
        <a:ln>
          <a:noFill/>
        </a:ln>
        <a:effectLst>
          <a:outerShdw blurRad="50800" dist="50800" dir="5400000" sx="1000" sy="1000" algn="ctr" rotWithShape="0">
            <a:srgbClr val="000000"/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257174</xdr:colOff>
      <xdr:row>4</xdr:row>
      <xdr:rowOff>42861</xdr:rowOff>
    </xdr:from>
    <xdr:to>
      <xdr:col>23</xdr:col>
      <xdr:colOff>190499</xdr:colOff>
      <xdr:row>21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60460-A420-7546-E4CC-79C269B46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590549</xdr:colOff>
      <xdr:row>17</xdr:row>
      <xdr:rowOff>171451</xdr:rowOff>
    </xdr:from>
    <xdr:ext cx="1905002" cy="1066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ED3E0DF-DF31-B05F-BB59-7B07746FF083}"/>
                </a:ext>
              </a:extLst>
            </xdr:cNvPr>
            <xdr:cNvSpPr txBox="1"/>
          </xdr:nvSpPr>
          <xdr:spPr>
            <a:xfrm>
              <a:off x="2419349" y="3409951"/>
              <a:ext cx="1905002" cy="1066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8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GB" sz="1800" b="0" i="0">
                        <a:latin typeface="Cambria Math" panose="02040503050406030204" pitchFamily="18" charset="0"/>
                      </a:rPr>
                      <m:t>a</m:t>
                    </m:r>
                    <m:r>
                      <a:rPr lang="en-GB" sz="18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𝛴</m:t>
                        </m:r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𝑥𝑦</m:t>
                        </m:r>
                        <m:r>
                          <a:rPr lang="en-GB" sz="1800" i="0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GB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800" i="1">
                                <a:latin typeface="Cambria Math" panose="02040503050406030204" pitchFamily="18" charset="0"/>
                              </a:rPr>
                              <m:t>𝛴</m:t>
                            </m:r>
                            <m:r>
                              <a:rPr lang="en-GB" sz="18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nary>
                              <m:naryPr>
                                <m:chr m:val="∑"/>
                                <m:grow m:val="on"/>
                                <m:subHide m:val="on"/>
                                <m:supHide m:val="on"/>
                                <m:ctrlPr>
                                  <a:rPr lang="en-GB" sz="18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GB" sz="18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nary>
                          </m:num>
                          <m:den>
                            <m:r>
                              <a:rPr lang="en-GB" sz="18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num>
                      <m:den>
                        <m:nary>
                          <m:naryPr>
                            <m:chr m:val="∑"/>
                            <m:grow m:val="on"/>
                            <m:subHide m:val="on"/>
                            <m:supHide m:val="on"/>
                            <m:ctrlPr>
                              <a:rPr lang="en-GB" sz="18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n-GB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8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GB" sz="18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  <m:r>
                          <a:rPr lang="en-GB" sz="1800" i="0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GB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GB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GB" sz="18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nary>
                                      <m:naryPr>
                                        <m:chr m:val="∑"/>
                                        <m:grow m:val="on"/>
                                        <m:subHide m:val="on"/>
                                        <m:supHide m:val="on"/>
                                        <m:ctrlPr>
                                          <a:rPr lang="en-GB" sz="18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r>
                                          <a:rPr lang="en-GB" sz="18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nary>
                                  </m:e>
                                </m:d>
                              </m:e>
                              <m:sup>
                                <m:r>
                                  <a:rPr lang="en-GB" sz="18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GB" sz="18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GB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ED3E0DF-DF31-B05F-BB59-7B07746FF083}"/>
                </a:ext>
              </a:extLst>
            </xdr:cNvPr>
            <xdr:cNvSpPr txBox="1"/>
          </xdr:nvSpPr>
          <xdr:spPr>
            <a:xfrm>
              <a:off x="2419349" y="3409951"/>
              <a:ext cx="1905002" cy="1066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GB" sz="1800" b="0" i="0">
                  <a:latin typeface="Cambria Math" panose="02040503050406030204" pitchFamily="18" charset="0"/>
                </a:rPr>
                <a:t> a</a:t>
              </a:r>
              <a:r>
                <a:rPr lang="en-GB" sz="1800" i="0">
                  <a:latin typeface="Cambria Math" panose="02040503050406030204" pitchFamily="18" charset="0"/>
                </a:rPr>
                <a:t>=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800" i="0">
                  <a:latin typeface="Cambria Math" panose="02040503050406030204" pitchFamily="18" charset="0"/>
                </a:rPr>
                <a:t>𝛴𝑥𝑦−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800" i="0">
                  <a:latin typeface="Cambria Math" panose="02040503050406030204" pitchFamily="18" charset="0"/>
                </a:rPr>
                <a:t>𝛴𝑥∑128▒𝑦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GB" sz="1800" i="0">
                  <a:latin typeface="Cambria Math" panose="02040503050406030204" pitchFamily="18" charset="0"/>
                </a:rPr>
                <a:t>𝑛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)/(∑128▒</a:t>
              </a:r>
              <a:r>
                <a:rPr lang="en-GB" sz="1800" i="0">
                  <a:latin typeface="Cambria Math" panose="02040503050406030204" pitchFamily="18" charset="0"/>
                </a:rPr>
                <a:t>𝑥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800" i="0">
                  <a:latin typeface="Cambria Math" panose="02040503050406030204" pitchFamily="18" charset="0"/>
                </a:rPr>
                <a:t>2 −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(∑128▒</a:t>
              </a:r>
              <a:r>
                <a:rPr lang="en-GB" sz="1800" i="0">
                  <a:latin typeface="Cambria Math" panose="02040503050406030204" pitchFamily="18" charset="0"/>
                </a:rPr>
                <a:t>𝑥)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800" i="0">
                  <a:latin typeface="Cambria Math" panose="02040503050406030204" pitchFamily="18" charset="0"/>
                </a:rPr>
                <a:t>2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GB" sz="1800" i="0">
                  <a:latin typeface="Cambria Math" panose="02040503050406030204" pitchFamily="18" charset="0"/>
                </a:rPr>
                <a:t>𝑛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GB" sz="1800"/>
            </a:p>
          </xdr:txBody>
        </xdr:sp>
      </mc:Fallback>
    </mc:AlternateContent>
    <xdr:clientData/>
  </xdr:oneCellAnchor>
  <xdr:oneCellAnchor>
    <xdr:from>
      <xdr:col>4</xdr:col>
      <xdr:colOff>23812</xdr:colOff>
      <xdr:row>24</xdr:row>
      <xdr:rowOff>157162</xdr:rowOff>
    </xdr:from>
    <xdr:ext cx="1154611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C35C78-45BC-6513-68BA-29B4943B47AD}"/>
                </a:ext>
              </a:extLst>
            </xdr:cNvPr>
            <xdr:cNvSpPr txBox="1"/>
          </xdr:nvSpPr>
          <xdr:spPr>
            <a:xfrm>
              <a:off x="2462212" y="4729162"/>
              <a:ext cx="1154611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80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GB" sz="1800" i="0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GB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GB" sz="180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800" i="1">
                        <a:latin typeface="Cambria Math" panose="02040503050406030204" pitchFamily="18" charset="0"/>
                      </a:rPr>
                      <m:t>𝑎</m:t>
                    </m:r>
                    <m:acc>
                      <m:accPr>
                        <m:chr m:val="̅"/>
                        <m:ctrlPr>
                          <a:rPr lang="en-GB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GB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C35C78-45BC-6513-68BA-29B4943B47AD}"/>
                </a:ext>
              </a:extLst>
            </xdr:cNvPr>
            <xdr:cNvSpPr txBox="1"/>
          </xdr:nvSpPr>
          <xdr:spPr>
            <a:xfrm>
              <a:off x="2462212" y="4729162"/>
              <a:ext cx="1154611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800" i="0">
                  <a:latin typeface="Cambria Math" panose="02040503050406030204" pitchFamily="18" charset="0"/>
                </a:rPr>
                <a:t>𝑏=𝑦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r>
                <a:rPr lang="en-GB" sz="1800" i="0">
                  <a:latin typeface="Cambria Math" panose="02040503050406030204" pitchFamily="18" charset="0"/>
                </a:rPr>
                <a:t>−𝑎𝑥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GB" sz="1800"/>
            </a:p>
          </xdr:txBody>
        </xdr:sp>
      </mc:Fallback>
    </mc:AlternateContent>
    <xdr:clientData/>
  </xdr:oneCellAnchor>
  <xdr:oneCellAnchor>
    <xdr:from>
      <xdr:col>4</xdr:col>
      <xdr:colOff>33337</xdr:colOff>
      <xdr:row>27</xdr:row>
      <xdr:rowOff>128587</xdr:rowOff>
    </xdr:from>
    <xdr:ext cx="759182" cy="5185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1BEA73C-AEAC-AC18-E015-AEF2D89313E2}"/>
                </a:ext>
              </a:extLst>
            </xdr:cNvPr>
            <xdr:cNvSpPr txBox="1"/>
          </xdr:nvSpPr>
          <xdr:spPr>
            <a:xfrm>
              <a:off x="2471737" y="5272087"/>
              <a:ext cx="759182" cy="518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GB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GB" sz="18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𝛴</m:t>
                        </m:r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GB" sz="1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1BEA73C-AEAC-AC18-E015-AEF2D89313E2}"/>
                </a:ext>
              </a:extLst>
            </xdr:cNvPr>
            <xdr:cNvSpPr txBox="1"/>
          </xdr:nvSpPr>
          <xdr:spPr>
            <a:xfrm>
              <a:off x="2471737" y="5272087"/>
              <a:ext cx="759182" cy="518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800" i="0">
                  <a:latin typeface="Cambria Math" panose="02040503050406030204" pitchFamily="18" charset="0"/>
                </a:rPr>
                <a:t>𝑦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r>
                <a:rPr lang="en-GB" sz="1800" i="0">
                  <a:latin typeface="Cambria Math" panose="02040503050406030204" pitchFamily="18" charset="0"/>
                </a:rPr>
                <a:t>=𝛴𝑦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GB" sz="1800" i="0">
                  <a:latin typeface="Cambria Math" panose="02040503050406030204" pitchFamily="18" charset="0"/>
                </a:rPr>
                <a:t>𝑛</a:t>
              </a:r>
              <a:endParaRPr lang="en-GB" sz="1800"/>
            </a:p>
          </xdr:txBody>
        </xdr:sp>
      </mc:Fallback>
    </mc:AlternateContent>
    <xdr:clientData/>
  </xdr:oneCellAnchor>
  <xdr:oneCellAnchor>
    <xdr:from>
      <xdr:col>3</xdr:col>
      <xdr:colOff>485775</xdr:colOff>
      <xdr:row>30</xdr:row>
      <xdr:rowOff>166687</xdr:rowOff>
    </xdr:from>
    <xdr:ext cx="1095375" cy="5354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7C6B322-7656-E808-5878-3F23F9415E2F}"/>
                </a:ext>
              </a:extLst>
            </xdr:cNvPr>
            <xdr:cNvSpPr txBox="1"/>
          </xdr:nvSpPr>
          <xdr:spPr>
            <a:xfrm>
              <a:off x="2314575" y="5881687"/>
              <a:ext cx="1095375" cy="5354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GB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GB" sz="18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grow m:val="on"/>
                            <m:subHide m:val="on"/>
                            <m:supHide m:val="on"/>
                            <m:ctrlPr>
                              <a:rPr lang="en-GB" sz="18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GB" sz="18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nary>
                      </m:num>
                      <m:den>
                        <m:r>
                          <a:rPr lang="en-GB" sz="18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GB" sz="18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7C6B322-7656-E808-5878-3F23F9415E2F}"/>
                </a:ext>
              </a:extLst>
            </xdr:cNvPr>
            <xdr:cNvSpPr txBox="1"/>
          </xdr:nvSpPr>
          <xdr:spPr>
            <a:xfrm>
              <a:off x="2314575" y="5881687"/>
              <a:ext cx="1095375" cy="5354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800" i="0">
                  <a:latin typeface="Cambria Math" panose="02040503050406030204" pitchFamily="18" charset="0"/>
                </a:rPr>
                <a:t>𝑥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r>
                <a:rPr lang="en-GB" sz="1800" i="0">
                  <a:latin typeface="Cambria Math" panose="02040503050406030204" pitchFamily="18" charset="0"/>
                </a:rPr>
                <a:t>=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(∑128▒</a:t>
              </a:r>
              <a:r>
                <a:rPr lang="en-GB" sz="1800" i="0">
                  <a:latin typeface="Cambria Math" panose="02040503050406030204" pitchFamily="18" charset="0"/>
                </a:rPr>
                <a:t>𝑥</a:t>
              </a:r>
              <a:r>
                <a:rPr lang="en-GB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GB" sz="1800" i="0">
                  <a:latin typeface="Cambria Math" panose="02040503050406030204" pitchFamily="18" charset="0"/>
                </a:rPr>
                <a:t>𝑛</a:t>
              </a:r>
              <a:endParaRPr lang="en-GB" sz="1800"/>
            </a:p>
          </xdr:txBody>
        </xdr:sp>
      </mc:Fallback>
    </mc:AlternateContent>
    <xdr:clientData/>
  </xdr:oneCellAnchor>
  <xdr:oneCellAnchor>
    <xdr:from>
      <xdr:col>12</xdr:col>
      <xdr:colOff>52387</xdr:colOff>
      <xdr:row>15</xdr:row>
      <xdr:rowOff>180975</xdr:rowOff>
    </xdr:from>
    <xdr:ext cx="6715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91267D9-94B9-367A-D4EF-527822FD9556}"/>
                </a:ext>
              </a:extLst>
            </xdr:cNvPr>
            <xdr:cNvSpPr txBox="1"/>
          </xdr:nvSpPr>
          <xdr:spPr>
            <a:xfrm>
              <a:off x="7367587" y="3038475"/>
              <a:ext cx="6715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200" i="1">
                        <a:latin typeface="Cambria Math" panose="02040503050406030204" pitchFamily="18" charset="0"/>
                      </a:rPr>
                      <m:t>𝛴</m:t>
                    </m:r>
                    <m:r>
                      <a:rPr lang="en-GB" sz="120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en-GB" sz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91267D9-94B9-367A-D4EF-527822FD9556}"/>
                </a:ext>
              </a:extLst>
            </xdr:cNvPr>
            <xdr:cNvSpPr txBox="1"/>
          </xdr:nvSpPr>
          <xdr:spPr>
            <a:xfrm>
              <a:off x="7367587" y="3038475"/>
              <a:ext cx="6715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i="0">
                  <a:latin typeface="Cambria Math" panose="02040503050406030204" pitchFamily="18" charset="0"/>
                </a:rPr>
                <a:t>𝛴𝑥</a:t>
              </a:r>
              <a:endParaRPr lang="en-GB" sz="1200"/>
            </a:p>
          </xdr:txBody>
        </xdr:sp>
      </mc:Fallback>
    </mc:AlternateContent>
    <xdr:clientData/>
  </xdr:oneCellAnchor>
  <xdr:oneCellAnchor>
    <xdr:from>
      <xdr:col>12</xdr:col>
      <xdr:colOff>71437</xdr:colOff>
      <xdr:row>18</xdr:row>
      <xdr:rowOff>23812</xdr:rowOff>
    </xdr:from>
    <xdr:ext cx="6048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E23BEDC-72FE-4E20-966C-D1F793508219}"/>
                </a:ext>
              </a:extLst>
            </xdr:cNvPr>
            <xdr:cNvSpPr txBox="1"/>
          </xdr:nvSpPr>
          <xdr:spPr>
            <a:xfrm>
              <a:off x="7386637" y="3452812"/>
              <a:ext cx="6048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𝛴</m:t>
                    </m:r>
                    <m:r>
                      <a:rPr lang="en-GB" sz="110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E23BEDC-72FE-4E20-966C-D1F793508219}"/>
                </a:ext>
              </a:extLst>
            </xdr:cNvPr>
            <xdr:cNvSpPr txBox="1"/>
          </xdr:nvSpPr>
          <xdr:spPr>
            <a:xfrm>
              <a:off x="7386637" y="3452812"/>
              <a:ext cx="6048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𝛴𝑦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166687</xdr:colOff>
      <xdr:row>20</xdr:row>
      <xdr:rowOff>14287</xdr:rowOff>
    </xdr:from>
    <xdr:ext cx="471488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F08C89B-1D77-1BA0-AAD4-69820E652EAA}"/>
                </a:ext>
              </a:extLst>
            </xdr:cNvPr>
            <xdr:cNvSpPr txBox="1"/>
          </xdr:nvSpPr>
          <xdr:spPr>
            <a:xfrm>
              <a:off x="7481887" y="3824287"/>
              <a:ext cx="471488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𝛴</m:t>
                    </m:r>
                    <m:r>
                      <a:rPr lang="en-GB" sz="1100" i="0">
                        <a:latin typeface="Cambria Math" panose="02040503050406030204" pitchFamily="18" charset="0"/>
                      </a:rPr>
                      <m:t>×</m:t>
                    </m:r>
                    <m:r>
                      <a:rPr lang="en-GB" sz="110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F08C89B-1D77-1BA0-AAD4-69820E652EAA}"/>
                </a:ext>
              </a:extLst>
            </xdr:cNvPr>
            <xdr:cNvSpPr txBox="1"/>
          </xdr:nvSpPr>
          <xdr:spPr>
            <a:xfrm>
              <a:off x="7481887" y="3824287"/>
              <a:ext cx="471488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𝛴×𝑦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290512</xdr:colOff>
      <xdr:row>22</xdr:row>
      <xdr:rowOff>14287</xdr:rowOff>
    </xdr:from>
    <xdr:ext cx="27001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14A6D52-C88A-EF93-E7F3-DCD4DB401EA2}"/>
                </a:ext>
              </a:extLst>
            </xdr:cNvPr>
            <xdr:cNvSpPr txBox="1"/>
          </xdr:nvSpPr>
          <xdr:spPr>
            <a:xfrm>
              <a:off x="7605712" y="4205287"/>
              <a:ext cx="27001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𝛴</m:t>
                    </m:r>
                    <m:sSup>
                      <m:sSup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GB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14A6D52-C88A-EF93-E7F3-DCD4DB401EA2}"/>
                </a:ext>
              </a:extLst>
            </xdr:cNvPr>
            <xdr:cNvSpPr txBox="1"/>
          </xdr:nvSpPr>
          <xdr:spPr>
            <a:xfrm>
              <a:off x="7605712" y="4205287"/>
              <a:ext cx="27001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𝛴𝑥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100" i="0">
                  <a:latin typeface="Cambria Math" panose="02040503050406030204" pitchFamily="18" charset="0"/>
                </a:rPr>
                <a:t>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204787</xdr:colOff>
      <xdr:row>23</xdr:row>
      <xdr:rowOff>80962</xdr:rowOff>
    </xdr:from>
    <xdr:ext cx="379335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22A95D-A27D-AFA2-8848-7F015D0F8318}"/>
                </a:ext>
              </a:extLst>
            </xdr:cNvPr>
            <xdr:cNvSpPr txBox="1"/>
          </xdr:nvSpPr>
          <xdr:spPr>
            <a:xfrm>
              <a:off x="7519987" y="4462462"/>
              <a:ext cx="379335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GB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𝛴</m:t>
                                </m:r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GB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22A95D-A27D-AFA2-8848-7F015D0F8318}"/>
                </a:ext>
              </a:extLst>
            </xdr:cNvPr>
            <xdr:cNvSpPr txBox="1"/>
          </xdr:nvSpPr>
          <xdr:spPr>
            <a:xfrm>
              <a:off x="7519987" y="4462462"/>
              <a:ext cx="379335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100" i="0">
                  <a:latin typeface="Cambria Math" panose="02040503050406030204" pitchFamily="18" charset="0"/>
                </a:rPr>
                <a:t>𝛴𝑥)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100" i="0">
                  <a:latin typeface="Cambria Math" panose="02040503050406030204" pitchFamily="18" charset="0"/>
                </a:rPr>
                <a:t>2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GB" sz="1100" i="0">
                  <a:latin typeface="Cambria Math" panose="02040503050406030204" pitchFamily="18" charset="0"/>
                </a:rPr>
                <a:t>𝑛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357187</xdr:colOff>
      <xdr:row>26</xdr:row>
      <xdr:rowOff>4762</xdr:rowOff>
    </xdr:from>
    <xdr:ext cx="11124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E5067DD-E0A3-514E-16F3-3FA63EDDE411}"/>
                </a:ext>
              </a:extLst>
            </xdr:cNvPr>
            <xdr:cNvSpPr txBox="1"/>
          </xdr:nvSpPr>
          <xdr:spPr>
            <a:xfrm>
              <a:off x="7672387" y="4957762"/>
              <a:ext cx="1112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E5067DD-E0A3-514E-16F3-3FA63EDDE411}"/>
                </a:ext>
              </a:extLst>
            </xdr:cNvPr>
            <xdr:cNvSpPr txBox="1"/>
          </xdr:nvSpPr>
          <xdr:spPr>
            <a:xfrm>
              <a:off x="7672387" y="4957762"/>
              <a:ext cx="1112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𝑥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366712</xdr:colOff>
      <xdr:row>26</xdr:row>
      <xdr:rowOff>176212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5FB61DB-DF18-9EEA-C25F-8CEE68DD7F57}"/>
                </a:ext>
              </a:extLst>
            </xdr:cNvPr>
            <xdr:cNvSpPr txBox="1"/>
          </xdr:nvSpPr>
          <xdr:spPr>
            <a:xfrm>
              <a:off x="7681912" y="5129212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5FB61DB-DF18-9EEA-C25F-8CEE68DD7F57}"/>
                </a:ext>
              </a:extLst>
            </xdr:cNvPr>
            <xdr:cNvSpPr txBox="1"/>
          </xdr:nvSpPr>
          <xdr:spPr>
            <a:xfrm>
              <a:off x="7681912" y="5129212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𝑦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12</xdr:col>
      <xdr:colOff>147637</xdr:colOff>
      <xdr:row>29</xdr:row>
      <xdr:rowOff>4762</xdr:rowOff>
    </xdr:from>
    <xdr:ext cx="463140" cy="3272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2B3112D-451F-0AEE-9257-23A032D1F231}"/>
                </a:ext>
              </a:extLst>
            </xdr:cNvPr>
            <xdr:cNvSpPr txBox="1"/>
          </xdr:nvSpPr>
          <xdr:spPr>
            <a:xfrm>
              <a:off x="7462837" y="5529262"/>
              <a:ext cx="463140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grow m:val="on"/>
                            <m:subHide m:val="on"/>
                            <m:supHide m:val="on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nary>
                        <m:nary>
                          <m:naryPr>
                            <m:chr m:val="∑"/>
                            <m:grow m:val="on"/>
                            <m:subHide m:val="on"/>
                            <m:supHide m:val="on"/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nary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2B3112D-451F-0AEE-9257-23A032D1F231}"/>
                </a:ext>
              </a:extLst>
            </xdr:cNvPr>
            <xdr:cNvSpPr txBox="1"/>
          </xdr:nvSpPr>
          <xdr:spPr>
            <a:xfrm>
              <a:off x="7462837" y="5529262"/>
              <a:ext cx="463140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(∑128▒</a:t>
              </a:r>
              <a:r>
                <a:rPr lang="en-GB" sz="1100" i="0">
                  <a:latin typeface="Cambria Math" panose="02040503050406030204" pitchFamily="18" charset="0"/>
                </a:rPr>
                <a:t>𝑥 ∑128▒𝑦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GB" sz="1100" i="0">
                  <a:latin typeface="Cambria Math" panose="02040503050406030204" pitchFamily="18" charset="0"/>
                </a:rPr>
                <a:t>𝑛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28575</xdr:colOff>
      <xdr:row>42</xdr:row>
      <xdr:rowOff>109537</xdr:rowOff>
    </xdr:from>
    <xdr:ext cx="915572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3C01CB1-8BDC-ED7E-9F24-A8617C894057}"/>
                </a:ext>
              </a:extLst>
            </xdr:cNvPr>
            <xdr:cNvSpPr txBox="1"/>
          </xdr:nvSpPr>
          <xdr:spPr>
            <a:xfrm>
              <a:off x="2524125" y="8110537"/>
              <a:ext cx="915572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GB" sz="110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GB" sz="110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GB" sz="1100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GB" sz="1100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GB" sz="11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3C01CB1-8BDC-ED7E-9F24-A8617C894057}"/>
                </a:ext>
              </a:extLst>
            </xdr:cNvPr>
            <xdr:cNvSpPr txBox="1"/>
          </xdr:nvSpPr>
          <xdr:spPr>
            <a:xfrm>
              <a:off x="2524125" y="8110537"/>
              <a:ext cx="915572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∑128▒(𝑦_𝑖−𝑦 ̅ )^2 </a:t>
              </a:r>
              <a:r>
                <a:rPr lang="en-GB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161925</xdr:colOff>
      <xdr:row>31</xdr:row>
      <xdr:rowOff>100012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8123401-C7AF-BD6B-6F63-AD518BB55854}"/>
            </a:ext>
          </a:extLst>
        </xdr:cNvPr>
        <xdr:cNvSpPr txBox="1"/>
      </xdr:nvSpPr>
      <xdr:spPr>
        <a:xfrm>
          <a:off x="3876675" y="6005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6</xdr:col>
      <xdr:colOff>0</xdr:colOff>
      <xdr:row>42</xdr:row>
      <xdr:rowOff>90487</xdr:rowOff>
    </xdr:from>
    <xdr:ext cx="949171" cy="4240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18DD6A9-2956-3556-EA1C-F58DC5916AEC}"/>
                </a:ext>
              </a:extLst>
            </xdr:cNvPr>
            <xdr:cNvSpPr txBox="1"/>
          </xdr:nvSpPr>
          <xdr:spPr>
            <a:xfrm>
              <a:off x="3714750" y="8091487"/>
              <a:ext cx="949171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GB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p>
                            <m:r>
                              <a:rPr lang="en-GB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GB" sz="110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GB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grow m:val="on"/>
                                    <m:subHide m:val="on"/>
                                    <m:supHide m:val="on"/>
                                    <m:ctrlP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r>
                                      <a:rPr lang="en-GB" sz="110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en-GB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18DD6A9-2956-3556-EA1C-F58DC5916AEC}"/>
                </a:ext>
              </a:extLst>
            </xdr:cNvPr>
            <xdr:cNvSpPr txBox="1"/>
          </xdr:nvSpPr>
          <xdr:spPr>
            <a:xfrm>
              <a:off x="3714750" y="8091487"/>
              <a:ext cx="949171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∑128▒</a:t>
              </a:r>
              <a:r>
                <a:rPr lang="en-GB" sz="1100" i="0">
                  <a:latin typeface="Cambria Math" panose="02040503050406030204" pitchFamily="18" charset="0"/>
                </a:rPr>
                <a:t>𝑦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100" i="0">
                  <a:latin typeface="Cambria Math" panose="02040503050406030204" pitchFamily="18" charset="0"/>
                </a:rPr>
                <a:t>2 −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(∑128▒</a:t>
              </a:r>
              <a:r>
                <a:rPr lang="en-GB" sz="1100" i="0">
                  <a:latin typeface="Cambria Math" panose="02040503050406030204" pitchFamily="18" charset="0"/>
                </a:rPr>
                <a:t>𝑦)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100" i="0">
                  <a:latin typeface="Cambria Math" panose="02040503050406030204" pitchFamily="18" charset="0"/>
                </a:rPr>
                <a:t>2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GB" sz="1100" i="0">
                  <a:latin typeface="Cambria Math" panose="02040503050406030204" pitchFamily="18" charset="0"/>
                </a:rPr>
                <a:t>𝑛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62</xdr:row>
      <xdr:rowOff>100012</xdr:rowOff>
    </xdr:from>
    <xdr:ext cx="770980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2CBD6996-44FD-EEE8-7CAB-92FBDC55C19F}"/>
                </a:ext>
              </a:extLst>
            </xdr:cNvPr>
            <xdr:cNvSpPr txBox="1"/>
          </xdr:nvSpPr>
          <xdr:spPr>
            <a:xfrm>
              <a:off x="2495550" y="11911012"/>
              <a:ext cx="770980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GB" sz="110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GB" sz="110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11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acc>
                                      <m:accPr>
                                        <m:chr m:val="̂"/>
                                        <m:ctrlPr>
                                          <a:rPr lang="en-GB" sz="1100" i="1">
                                            <a:solidFill>
                                              <a:sysClr val="windowText" lastClr="00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n-GB" sz="1100" i="1">
                                            <a:solidFill>
                                              <a:sysClr val="windowText" lastClr="00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</m:acc>
                                  </m:e>
                                  <m:sub>
                                    <m: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GB" sz="1100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GB" sz="1100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2CBD6996-44FD-EEE8-7CAB-92FBDC55C19F}"/>
                </a:ext>
              </a:extLst>
            </xdr:cNvPr>
            <xdr:cNvSpPr txBox="1"/>
          </xdr:nvSpPr>
          <xdr:spPr>
            <a:xfrm>
              <a:off x="2495550" y="11911012"/>
              <a:ext cx="770980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∑128▒(𝑦 ̂_𝑖−𝑦 ̅ )^2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19050</xdr:colOff>
      <xdr:row>68</xdr:row>
      <xdr:rowOff>100012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92F8E47-65FC-42AF-624E-7C92CBAB1E94}"/>
            </a:ext>
          </a:extLst>
        </xdr:cNvPr>
        <xdr:cNvSpPr txBox="1"/>
      </xdr:nvSpPr>
      <xdr:spPr>
        <a:xfrm>
          <a:off x="2514600" y="130540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3</xdr:col>
      <xdr:colOff>638175</xdr:colOff>
      <xdr:row>68</xdr:row>
      <xdr:rowOff>100012</xdr:rowOff>
    </xdr:from>
    <xdr:ext cx="744306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C706914-E8CE-3554-F135-5F08C15C8432}"/>
                </a:ext>
              </a:extLst>
            </xdr:cNvPr>
            <xdr:cNvSpPr txBox="1"/>
          </xdr:nvSpPr>
          <xdr:spPr>
            <a:xfrm>
              <a:off x="2466975" y="13054012"/>
              <a:ext cx="744306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GB" sz="110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en-GB" sz="110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11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GB" sz="11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GB" sz="1100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GB" sz="11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GB" sz="1100" i="1">
                                        <a:solidFill>
                                          <a:sysClr val="windowText" lastClr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GB" sz="11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C706914-E8CE-3554-F135-5F08C15C8432}"/>
                </a:ext>
              </a:extLst>
            </xdr:cNvPr>
            <xdr:cNvSpPr txBox="1"/>
          </xdr:nvSpPr>
          <xdr:spPr>
            <a:xfrm>
              <a:off x="2466975" y="13054012"/>
              <a:ext cx="744306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∑128▒(𝑦_𝑖−𝑦 ̂_𝑖 )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38100</xdr:colOff>
      <xdr:row>73</xdr:row>
      <xdr:rowOff>157162</xdr:rowOff>
    </xdr:from>
    <xdr:ext cx="365293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AB8B8D4F-FF53-EDA7-62B3-5E2006B853FC}"/>
                </a:ext>
              </a:extLst>
            </xdr:cNvPr>
            <xdr:cNvSpPr txBox="1"/>
          </xdr:nvSpPr>
          <xdr:spPr>
            <a:xfrm>
              <a:off x="2533650" y="14063662"/>
              <a:ext cx="36529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𝑆𝑆𝐸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GB" sz="110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AB8B8D4F-FF53-EDA7-62B3-5E2006B853FC}"/>
                </a:ext>
              </a:extLst>
            </xdr:cNvPr>
            <xdr:cNvSpPr txBox="1"/>
          </xdr:nvSpPr>
          <xdr:spPr>
            <a:xfrm>
              <a:off x="2533650" y="14063662"/>
              <a:ext cx="36529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𝑆𝑆𝐸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/(</a:t>
              </a:r>
              <a:r>
                <a:rPr lang="en-GB" sz="1100" i="0">
                  <a:latin typeface="Cambria Math" panose="02040503050406030204" pitchFamily="18" charset="0"/>
                </a:rPr>
                <a:t>𝑛−𝑘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38100</xdr:colOff>
      <xdr:row>80</xdr:row>
      <xdr:rowOff>4762</xdr:rowOff>
    </xdr:from>
    <xdr:ext cx="27514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6BE6B60-5863-66CA-C820-ACC0473002A2}"/>
                </a:ext>
              </a:extLst>
            </xdr:cNvPr>
            <xdr:cNvSpPr txBox="1"/>
          </xdr:nvSpPr>
          <xdr:spPr>
            <a:xfrm>
              <a:off x="2533650" y="15244762"/>
              <a:ext cx="27514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𝑆𝑆𝑅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6BE6B60-5863-66CA-C820-ACC0473002A2}"/>
                </a:ext>
              </a:extLst>
            </xdr:cNvPr>
            <xdr:cNvSpPr txBox="1"/>
          </xdr:nvSpPr>
          <xdr:spPr>
            <a:xfrm>
              <a:off x="2533650" y="15244762"/>
              <a:ext cx="27514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𝑆𝑆𝑅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GB" sz="1100" i="0">
                  <a:latin typeface="Cambria Math" panose="02040503050406030204" pitchFamily="18" charset="0"/>
                </a:rPr>
                <a:t>𝑘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38100</xdr:colOff>
      <xdr:row>86</xdr:row>
      <xdr:rowOff>138112</xdr:rowOff>
    </xdr:from>
    <xdr:ext cx="1291187" cy="3181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F024505-B99A-57EA-8DBE-F97D2DE3F02A}"/>
                </a:ext>
              </a:extLst>
            </xdr:cNvPr>
            <xdr:cNvSpPr txBox="1"/>
          </xdr:nvSpPr>
          <xdr:spPr>
            <a:xfrm>
              <a:off x="2533650" y="16521112"/>
              <a:ext cx="1291187" cy="318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GB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GB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𝑆𝑆𝑅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𝑆𝑆𝑇</m:t>
                        </m:r>
                      </m:den>
                    </m:f>
                    <m:r>
                      <a:rPr lang="en-GB" sz="1100" i="0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𝑆𝑆𝐸</m:t>
                        </m:r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𝑆𝑆𝑇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F024505-B99A-57EA-8DBE-F97D2DE3F02A}"/>
                </a:ext>
              </a:extLst>
            </xdr:cNvPr>
            <xdr:cNvSpPr txBox="1"/>
          </xdr:nvSpPr>
          <xdr:spPr>
            <a:xfrm>
              <a:off x="2533650" y="16521112"/>
              <a:ext cx="1291187" cy="318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𝑅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100" i="0">
                  <a:latin typeface="Cambria Math" panose="02040503050406030204" pitchFamily="18" charset="0"/>
                </a:rPr>
                <a:t>2=𝑆𝑆𝑅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GB" sz="1100" i="0">
                  <a:latin typeface="Cambria Math" panose="02040503050406030204" pitchFamily="18" charset="0"/>
                </a:rPr>
                <a:t>𝑆𝑆𝑇=1−𝑆𝑆𝐸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GB" sz="1100" i="0">
                  <a:latin typeface="Cambria Math" panose="02040503050406030204" pitchFamily="18" charset="0"/>
                </a:rPr>
                <a:t>𝑆𝑆𝑇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95250</xdr:colOff>
      <xdr:row>116</xdr:row>
      <xdr:rowOff>71437</xdr:rowOff>
    </xdr:from>
    <xdr:ext cx="1731180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16C50C4-14C9-7A71-8C6D-0E72AA8CBFEB}"/>
                </a:ext>
              </a:extLst>
            </xdr:cNvPr>
            <xdr:cNvSpPr txBox="1"/>
          </xdr:nvSpPr>
          <xdr:spPr>
            <a:xfrm>
              <a:off x="2590800" y="22274212"/>
              <a:ext cx="1731180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GB" sz="1100" i="0">
                            <a:latin typeface="Cambria Math" panose="02040503050406030204" pitchFamily="18" charset="0"/>
                          </a:rPr>
                          <m:t>ⅆ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𝐽</m:t>
                        </m:r>
                      </m:sub>
                      <m:sup>
                        <m:r>
                          <a:rPr lang="en-GB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GB" sz="1100" i="0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n-GB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GB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i="0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lang="en-GB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10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p>
                                <m:r>
                                  <a:rPr lang="en-GB" sz="11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  <m:d>
                          <m:dPr>
                            <m:ctrlPr>
                              <a:rPr lang="en-GB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GB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GB" sz="110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GB" sz="1100" i="0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16C50C4-14C9-7A71-8C6D-0E72AA8CBFEB}"/>
                </a:ext>
              </a:extLst>
            </xdr:cNvPr>
            <xdr:cNvSpPr txBox="1"/>
          </xdr:nvSpPr>
          <xdr:spPr>
            <a:xfrm>
              <a:off x="2590800" y="22274212"/>
              <a:ext cx="1731180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𝑅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GB" sz="1100" i="0">
                  <a:latin typeface="Cambria Math" panose="02040503050406030204" pitchFamily="18" charset="0"/>
                </a:rPr>
                <a:t>𝑎ⅆ𝐽^2=1−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100" i="0">
                  <a:latin typeface="Cambria Math" panose="02040503050406030204" pitchFamily="18" charset="0"/>
                </a:rPr>
                <a:t>1−𝑅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GB" sz="1100" i="0">
                  <a:latin typeface="Cambria Math" panose="02040503050406030204" pitchFamily="18" charset="0"/>
                </a:rPr>
                <a:t>2 )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100" i="0">
                  <a:latin typeface="Cambria Math" panose="02040503050406030204" pitchFamily="18" charset="0"/>
                </a:rPr>
                <a:t>𝑛−1)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/(</a:t>
              </a:r>
              <a:r>
                <a:rPr lang="en-GB" sz="1100" i="0">
                  <a:latin typeface="Cambria Math" panose="02040503050406030204" pitchFamily="18" charset="0"/>
                </a:rPr>
                <a:t>𝑛−𝑘−1</a:t>
              </a:r>
              <a:r>
                <a:rPr lang="en-GB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B814-0CE3-44DB-B2D8-9F86394BC0F1}">
  <dimension ref="A1:P1070"/>
  <sheetViews>
    <sheetView topLeftCell="I1" workbookViewId="0">
      <selection activeCell="P1070" sqref="P1070"/>
    </sheetView>
  </sheetViews>
  <sheetFormatPr defaultRowHeight="15" x14ac:dyDescent="0.25"/>
  <cols>
    <col min="1" max="1" width="20.5703125" customWidth="1"/>
    <col min="2" max="2" width="20.28515625" customWidth="1"/>
    <col min="3" max="3" width="18.28515625" customWidth="1"/>
    <col min="4" max="4" width="18.5703125" customWidth="1"/>
    <col min="5" max="5" width="19.140625" customWidth="1"/>
    <col min="6" max="6" width="28.140625" customWidth="1"/>
    <col min="7" max="7" width="20" customWidth="1"/>
    <col min="8" max="8" width="15.42578125" customWidth="1"/>
    <col min="9" max="9" width="27.28515625" customWidth="1"/>
    <col min="10" max="10" width="36.42578125" customWidth="1"/>
    <col min="11" max="11" width="36.85546875" customWidth="1"/>
    <col min="12" max="12" width="47.140625" customWidth="1"/>
    <col min="13" max="13" width="44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769</v>
      </c>
      <c r="P1" t="s">
        <v>770</v>
      </c>
    </row>
    <row r="2" spans="1:16" x14ac:dyDescent="0.25">
      <c r="A2">
        <v>2014</v>
      </c>
      <c r="B2" t="s">
        <v>691</v>
      </c>
      <c r="C2" t="s">
        <v>708</v>
      </c>
      <c r="D2" t="s">
        <v>15</v>
      </c>
      <c r="E2">
        <v>1.5</v>
      </c>
      <c r="F2">
        <v>4</v>
      </c>
      <c r="G2" t="s">
        <v>209</v>
      </c>
      <c r="H2" t="s">
        <v>143</v>
      </c>
      <c r="I2">
        <v>4.5999999999999996</v>
      </c>
      <c r="J2">
        <v>4.9000000000000004</v>
      </c>
      <c r="K2">
        <v>4.7</v>
      </c>
      <c r="L2">
        <v>60</v>
      </c>
      <c r="M2">
        <v>108</v>
      </c>
      <c r="O2">
        <f>M2*E2</f>
        <v>162</v>
      </c>
      <c r="P2">
        <f>E2*E2</f>
        <v>2.25</v>
      </c>
    </row>
    <row r="3" spans="1:16" x14ac:dyDescent="0.25">
      <c r="A3">
        <v>2014</v>
      </c>
      <c r="B3" t="s">
        <v>329</v>
      </c>
      <c r="C3" t="s">
        <v>331</v>
      </c>
      <c r="D3" t="s">
        <v>26</v>
      </c>
      <c r="E3">
        <v>2</v>
      </c>
      <c r="F3">
        <v>4</v>
      </c>
      <c r="G3" t="s">
        <v>209</v>
      </c>
      <c r="H3" t="s">
        <v>143</v>
      </c>
      <c r="I3">
        <v>4.7</v>
      </c>
      <c r="J3">
        <v>4.9000000000000004</v>
      </c>
      <c r="K3">
        <v>4.8</v>
      </c>
      <c r="L3">
        <v>59</v>
      </c>
      <c r="M3">
        <v>110</v>
      </c>
      <c r="O3">
        <f t="shared" ref="O3:O66" si="0">M3*E3</f>
        <v>220</v>
      </c>
      <c r="P3">
        <f t="shared" ref="P3:P66" si="1">E3*E3</f>
        <v>4</v>
      </c>
    </row>
    <row r="4" spans="1:16" x14ac:dyDescent="0.25">
      <c r="A4">
        <v>2014</v>
      </c>
      <c r="B4" t="s">
        <v>691</v>
      </c>
      <c r="C4" t="s">
        <v>707</v>
      </c>
      <c r="D4" t="s">
        <v>26</v>
      </c>
      <c r="E4">
        <v>1.8</v>
      </c>
      <c r="F4">
        <v>4</v>
      </c>
      <c r="G4" t="s">
        <v>209</v>
      </c>
      <c r="H4" t="s">
        <v>143</v>
      </c>
      <c r="I4">
        <v>4.7</v>
      </c>
      <c r="J4">
        <v>4.9000000000000004</v>
      </c>
      <c r="K4">
        <v>4.8</v>
      </c>
      <c r="L4">
        <v>59</v>
      </c>
      <c r="M4">
        <v>110</v>
      </c>
      <c r="O4">
        <f t="shared" si="0"/>
        <v>198</v>
      </c>
      <c r="P4">
        <f t="shared" si="1"/>
        <v>3.24</v>
      </c>
    </row>
    <row r="5" spans="1:16" x14ac:dyDescent="0.25">
      <c r="A5">
        <v>2014</v>
      </c>
      <c r="B5" t="s">
        <v>723</v>
      </c>
      <c r="C5" t="s">
        <v>735</v>
      </c>
      <c r="D5" t="s">
        <v>15</v>
      </c>
      <c r="E5">
        <v>1.4</v>
      </c>
      <c r="F5">
        <v>4</v>
      </c>
      <c r="G5" t="s">
        <v>38</v>
      </c>
      <c r="H5" t="s">
        <v>17</v>
      </c>
      <c r="I5">
        <v>5.6</v>
      </c>
      <c r="J5">
        <v>5.2</v>
      </c>
      <c r="K5">
        <v>5.4</v>
      </c>
      <c r="L5">
        <v>52</v>
      </c>
      <c r="M5">
        <v>124</v>
      </c>
      <c r="O5">
        <f t="shared" si="0"/>
        <v>173.6</v>
      </c>
      <c r="P5">
        <f t="shared" si="1"/>
        <v>1.9599999999999997</v>
      </c>
    </row>
    <row r="6" spans="1:16" x14ac:dyDescent="0.25">
      <c r="A6">
        <v>2014</v>
      </c>
      <c r="B6" t="s">
        <v>265</v>
      </c>
      <c r="C6" t="s">
        <v>297</v>
      </c>
      <c r="D6" t="s">
        <v>26</v>
      </c>
      <c r="E6">
        <v>2</v>
      </c>
      <c r="F6">
        <v>4</v>
      </c>
      <c r="G6" t="s">
        <v>209</v>
      </c>
      <c r="H6" t="s">
        <v>143</v>
      </c>
      <c r="I6">
        <v>5.3</v>
      </c>
      <c r="J6">
        <v>5.7</v>
      </c>
      <c r="K6">
        <v>5.5</v>
      </c>
      <c r="L6">
        <v>51</v>
      </c>
      <c r="M6">
        <v>126</v>
      </c>
      <c r="O6">
        <f t="shared" si="0"/>
        <v>252</v>
      </c>
      <c r="P6">
        <f t="shared" si="1"/>
        <v>4</v>
      </c>
    </row>
    <row r="7" spans="1:16" x14ac:dyDescent="0.25">
      <c r="A7">
        <v>2014</v>
      </c>
      <c r="B7" t="s">
        <v>691</v>
      </c>
      <c r="C7" t="s">
        <v>709</v>
      </c>
      <c r="D7" t="s">
        <v>423</v>
      </c>
      <c r="E7">
        <v>1.8</v>
      </c>
      <c r="F7">
        <v>4</v>
      </c>
      <c r="G7" t="s">
        <v>209</v>
      </c>
      <c r="H7" t="s">
        <v>143</v>
      </c>
      <c r="I7">
        <v>5.3</v>
      </c>
      <c r="J7">
        <v>5.8</v>
      </c>
      <c r="K7">
        <v>5.5</v>
      </c>
      <c r="L7">
        <v>51</v>
      </c>
      <c r="M7">
        <v>126</v>
      </c>
      <c r="O7">
        <f t="shared" si="0"/>
        <v>226.8</v>
      </c>
      <c r="P7">
        <f t="shared" si="1"/>
        <v>3.24</v>
      </c>
    </row>
    <row r="8" spans="1:16" x14ac:dyDescent="0.25">
      <c r="A8">
        <v>2014</v>
      </c>
      <c r="B8" t="s">
        <v>450</v>
      </c>
      <c r="C8" t="s">
        <v>451</v>
      </c>
      <c r="D8" t="s">
        <v>15</v>
      </c>
      <c r="E8">
        <v>1.8</v>
      </c>
      <c r="F8">
        <v>4</v>
      </c>
      <c r="G8" t="s">
        <v>209</v>
      </c>
      <c r="H8" t="s">
        <v>143</v>
      </c>
      <c r="I8">
        <v>5.5</v>
      </c>
      <c r="J8">
        <v>5.8</v>
      </c>
      <c r="K8">
        <v>5.6</v>
      </c>
      <c r="L8">
        <v>50</v>
      </c>
      <c r="M8">
        <v>129</v>
      </c>
      <c r="O8">
        <f t="shared" si="0"/>
        <v>232.20000000000002</v>
      </c>
      <c r="P8">
        <f t="shared" si="1"/>
        <v>3.24</v>
      </c>
    </row>
    <row r="9" spans="1:16" x14ac:dyDescent="0.25">
      <c r="A9">
        <v>2014</v>
      </c>
      <c r="B9" t="s">
        <v>691</v>
      </c>
      <c r="C9" t="s">
        <v>696</v>
      </c>
      <c r="D9" t="s">
        <v>26</v>
      </c>
      <c r="E9">
        <v>2.5</v>
      </c>
      <c r="F9">
        <v>4</v>
      </c>
      <c r="G9" t="s">
        <v>209</v>
      </c>
      <c r="H9" t="s">
        <v>143</v>
      </c>
      <c r="I9">
        <v>5.5</v>
      </c>
      <c r="J9">
        <v>5.9</v>
      </c>
      <c r="K9">
        <v>5.7</v>
      </c>
      <c r="L9">
        <v>50</v>
      </c>
      <c r="M9">
        <v>131</v>
      </c>
      <c r="O9">
        <f t="shared" si="0"/>
        <v>327.5</v>
      </c>
      <c r="P9">
        <f t="shared" si="1"/>
        <v>6.25</v>
      </c>
    </row>
    <row r="10" spans="1:16" x14ac:dyDescent="0.25">
      <c r="A10">
        <v>2014</v>
      </c>
      <c r="B10" t="s">
        <v>13</v>
      </c>
      <c r="C10" t="s">
        <v>19</v>
      </c>
      <c r="D10" t="s">
        <v>15</v>
      </c>
      <c r="E10">
        <v>1.5</v>
      </c>
      <c r="F10">
        <v>4</v>
      </c>
      <c r="G10" t="s">
        <v>20</v>
      </c>
      <c r="H10" t="s">
        <v>17</v>
      </c>
      <c r="I10">
        <v>6</v>
      </c>
      <c r="J10">
        <v>5.8</v>
      </c>
      <c r="K10">
        <v>5.9</v>
      </c>
      <c r="L10">
        <v>48</v>
      </c>
      <c r="M10">
        <v>136</v>
      </c>
      <c r="O10">
        <f t="shared" si="0"/>
        <v>204</v>
      </c>
      <c r="P10">
        <f t="shared" si="1"/>
        <v>2.25</v>
      </c>
    </row>
    <row r="11" spans="1:16" x14ac:dyDescent="0.25">
      <c r="A11">
        <v>2014</v>
      </c>
      <c r="B11" t="s">
        <v>265</v>
      </c>
      <c r="C11" t="s">
        <v>266</v>
      </c>
      <c r="D11" t="s">
        <v>56</v>
      </c>
      <c r="E11">
        <v>2</v>
      </c>
      <c r="F11">
        <v>4</v>
      </c>
      <c r="G11" t="s">
        <v>209</v>
      </c>
      <c r="H11" t="s">
        <v>143</v>
      </c>
      <c r="I11">
        <v>5.6</v>
      </c>
      <c r="J11">
        <v>6.4</v>
      </c>
      <c r="K11">
        <v>6</v>
      </c>
      <c r="L11">
        <v>47</v>
      </c>
      <c r="M11">
        <v>138</v>
      </c>
      <c r="O11">
        <f t="shared" si="0"/>
        <v>276</v>
      </c>
      <c r="P11">
        <f t="shared" si="1"/>
        <v>4</v>
      </c>
    </row>
    <row r="12" spans="1:16" x14ac:dyDescent="0.25">
      <c r="A12">
        <v>2014</v>
      </c>
      <c r="B12" t="s">
        <v>450</v>
      </c>
      <c r="C12" t="s">
        <v>452</v>
      </c>
      <c r="D12" t="s">
        <v>26</v>
      </c>
      <c r="E12">
        <v>2.5</v>
      </c>
      <c r="F12">
        <v>4</v>
      </c>
      <c r="G12" t="s">
        <v>453</v>
      </c>
      <c r="H12" t="s">
        <v>143</v>
      </c>
      <c r="I12">
        <v>5.8</v>
      </c>
      <c r="J12">
        <v>6.2</v>
      </c>
      <c r="K12">
        <v>6</v>
      </c>
      <c r="L12">
        <v>47</v>
      </c>
      <c r="M12">
        <v>138</v>
      </c>
      <c r="O12">
        <f t="shared" si="0"/>
        <v>345</v>
      </c>
      <c r="P12">
        <f t="shared" si="1"/>
        <v>6.25</v>
      </c>
    </row>
    <row r="13" spans="1:16" x14ac:dyDescent="0.25">
      <c r="A13">
        <v>2014</v>
      </c>
      <c r="B13" t="s">
        <v>582</v>
      </c>
      <c r="C13" t="s">
        <v>588</v>
      </c>
      <c r="D13" t="s">
        <v>15</v>
      </c>
      <c r="E13">
        <v>1.2</v>
      </c>
      <c r="F13">
        <v>3</v>
      </c>
      <c r="G13" t="s">
        <v>209</v>
      </c>
      <c r="H13" t="s">
        <v>143</v>
      </c>
      <c r="I13">
        <v>6.4</v>
      </c>
      <c r="J13">
        <v>5.4</v>
      </c>
      <c r="K13">
        <v>6</v>
      </c>
      <c r="L13">
        <v>47</v>
      </c>
      <c r="M13">
        <v>138</v>
      </c>
      <c r="O13">
        <f t="shared" si="0"/>
        <v>165.6</v>
      </c>
      <c r="P13">
        <f t="shared" si="1"/>
        <v>1.44</v>
      </c>
    </row>
    <row r="14" spans="1:16" x14ac:dyDescent="0.25">
      <c r="A14">
        <v>2014</v>
      </c>
      <c r="B14" t="s">
        <v>691</v>
      </c>
      <c r="C14" t="s">
        <v>697</v>
      </c>
      <c r="D14" t="s">
        <v>26</v>
      </c>
      <c r="E14">
        <v>2.5</v>
      </c>
      <c r="F14">
        <v>4</v>
      </c>
      <c r="G14" t="s">
        <v>209</v>
      </c>
      <c r="H14" t="s">
        <v>143</v>
      </c>
      <c r="I14">
        <v>5.8</v>
      </c>
      <c r="J14">
        <v>6.2</v>
      </c>
      <c r="K14">
        <v>6</v>
      </c>
      <c r="L14">
        <v>47</v>
      </c>
      <c r="M14">
        <v>138</v>
      </c>
      <c r="O14">
        <f t="shared" si="0"/>
        <v>345</v>
      </c>
      <c r="P14">
        <f t="shared" si="1"/>
        <v>6.25</v>
      </c>
    </row>
    <row r="15" spans="1:16" x14ac:dyDescent="0.25">
      <c r="A15">
        <v>2014</v>
      </c>
      <c r="B15" t="s">
        <v>342</v>
      </c>
      <c r="C15" t="s">
        <v>352</v>
      </c>
      <c r="D15" t="s">
        <v>26</v>
      </c>
      <c r="E15">
        <v>2.4</v>
      </c>
      <c r="F15">
        <v>4</v>
      </c>
      <c r="G15" t="s">
        <v>23</v>
      </c>
      <c r="H15" t="s">
        <v>143</v>
      </c>
      <c r="I15">
        <v>6.5</v>
      </c>
      <c r="J15">
        <v>5.9</v>
      </c>
      <c r="K15">
        <v>6.2</v>
      </c>
      <c r="L15">
        <v>46</v>
      </c>
      <c r="M15">
        <v>143</v>
      </c>
      <c r="O15">
        <f t="shared" si="0"/>
        <v>343.2</v>
      </c>
      <c r="P15">
        <f t="shared" si="1"/>
        <v>5.76</v>
      </c>
    </row>
    <row r="16" spans="1:16" x14ac:dyDescent="0.25">
      <c r="A16">
        <v>2014</v>
      </c>
      <c r="B16" t="s">
        <v>667</v>
      </c>
      <c r="C16" t="s">
        <v>669</v>
      </c>
      <c r="D16" t="s">
        <v>32</v>
      </c>
      <c r="E16">
        <v>1.3</v>
      </c>
      <c r="F16">
        <v>4</v>
      </c>
      <c r="G16" t="s">
        <v>209</v>
      </c>
      <c r="H16" t="s">
        <v>143</v>
      </c>
      <c r="I16">
        <v>6.6</v>
      </c>
      <c r="J16">
        <v>5.7</v>
      </c>
      <c r="K16">
        <v>6.2</v>
      </c>
      <c r="L16">
        <v>46</v>
      </c>
      <c r="M16">
        <v>143</v>
      </c>
      <c r="O16">
        <f t="shared" si="0"/>
        <v>185.9</v>
      </c>
      <c r="P16">
        <f t="shared" si="1"/>
        <v>1.6900000000000002</v>
      </c>
    </row>
    <row r="17" spans="1:16" x14ac:dyDescent="0.25">
      <c r="A17">
        <v>2014</v>
      </c>
      <c r="B17" t="s">
        <v>329</v>
      </c>
      <c r="C17" t="s">
        <v>336</v>
      </c>
      <c r="D17" t="s">
        <v>37</v>
      </c>
      <c r="E17">
        <v>1.5</v>
      </c>
      <c r="F17">
        <v>4</v>
      </c>
      <c r="G17" t="s">
        <v>20</v>
      </c>
      <c r="H17" t="s">
        <v>143</v>
      </c>
      <c r="I17">
        <v>6.6</v>
      </c>
      <c r="J17">
        <v>6</v>
      </c>
      <c r="K17">
        <v>6.3</v>
      </c>
      <c r="L17">
        <v>45</v>
      </c>
      <c r="M17">
        <v>145</v>
      </c>
      <c r="O17">
        <f t="shared" si="0"/>
        <v>217.5</v>
      </c>
      <c r="P17">
        <f t="shared" si="1"/>
        <v>2.25</v>
      </c>
    </row>
    <row r="18" spans="1:16" x14ac:dyDescent="0.25">
      <c r="A18">
        <v>2014</v>
      </c>
      <c r="B18" t="s">
        <v>342</v>
      </c>
      <c r="C18" t="s">
        <v>353</v>
      </c>
      <c r="D18" t="s">
        <v>26</v>
      </c>
      <c r="E18">
        <v>2.4</v>
      </c>
      <c r="F18">
        <v>4</v>
      </c>
      <c r="G18" t="s">
        <v>23</v>
      </c>
      <c r="H18" t="s">
        <v>143</v>
      </c>
      <c r="I18">
        <v>6.6</v>
      </c>
      <c r="J18">
        <v>5.9</v>
      </c>
      <c r="K18">
        <v>6.3</v>
      </c>
      <c r="L18">
        <v>45</v>
      </c>
      <c r="M18">
        <v>145</v>
      </c>
      <c r="O18">
        <f t="shared" si="0"/>
        <v>348</v>
      </c>
      <c r="P18">
        <f t="shared" si="1"/>
        <v>5.76</v>
      </c>
    </row>
    <row r="19" spans="1:16" x14ac:dyDescent="0.25">
      <c r="A19">
        <v>2014</v>
      </c>
      <c r="B19" t="s">
        <v>473</v>
      </c>
      <c r="C19" t="s">
        <v>481</v>
      </c>
      <c r="D19" t="s">
        <v>26</v>
      </c>
      <c r="E19">
        <v>2</v>
      </c>
      <c r="F19">
        <v>4</v>
      </c>
      <c r="G19" t="s">
        <v>209</v>
      </c>
      <c r="H19" t="s">
        <v>143</v>
      </c>
      <c r="I19">
        <v>6.2</v>
      </c>
      <c r="J19">
        <v>6.4</v>
      </c>
      <c r="K19">
        <v>6.3</v>
      </c>
      <c r="L19">
        <v>45</v>
      </c>
      <c r="M19">
        <v>145</v>
      </c>
      <c r="O19">
        <f t="shared" si="0"/>
        <v>290</v>
      </c>
      <c r="P19">
        <f t="shared" si="1"/>
        <v>4</v>
      </c>
    </row>
    <row r="20" spans="1:16" x14ac:dyDescent="0.25">
      <c r="A20">
        <v>2014</v>
      </c>
      <c r="B20" t="s">
        <v>582</v>
      </c>
      <c r="C20" t="s">
        <v>588</v>
      </c>
      <c r="D20" t="s">
        <v>15</v>
      </c>
      <c r="E20">
        <v>1.2</v>
      </c>
      <c r="F20">
        <v>3</v>
      </c>
      <c r="G20" t="s">
        <v>126</v>
      </c>
      <c r="H20" t="s">
        <v>143</v>
      </c>
      <c r="I20">
        <v>7</v>
      </c>
      <c r="J20">
        <v>5.6</v>
      </c>
      <c r="K20">
        <v>6.4</v>
      </c>
      <c r="L20">
        <v>44</v>
      </c>
      <c r="M20">
        <v>147</v>
      </c>
      <c r="O20">
        <f t="shared" si="0"/>
        <v>176.4</v>
      </c>
      <c r="P20">
        <f t="shared" si="1"/>
        <v>1.44</v>
      </c>
    </row>
    <row r="21" spans="1:16" x14ac:dyDescent="0.25">
      <c r="A21">
        <v>2014</v>
      </c>
      <c r="B21" t="s">
        <v>674</v>
      </c>
      <c r="C21" t="s">
        <v>675</v>
      </c>
      <c r="D21" t="s">
        <v>37</v>
      </c>
      <c r="E21">
        <v>1</v>
      </c>
      <c r="F21">
        <v>3</v>
      </c>
      <c r="G21" t="s">
        <v>676</v>
      </c>
      <c r="H21" t="s">
        <v>17</v>
      </c>
      <c r="I21">
        <v>6.9</v>
      </c>
      <c r="J21">
        <v>5.7</v>
      </c>
      <c r="K21">
        <v>6.4</v>
      </c>
      <c r="L21">
        <v>44</v>
      </c>
      <c r="M21">
        <v>147</v>
      </c>
      <c r="O21">
        <f t="shared" si="0"/>
        <v>147</v>
      </c>
      <c r="P21">
        <f t="shared" si="1"/>
        <v>1</v>
      </c>
    </row>
    <row r="22" spans="1:16" x14ac:dyDescent="0.25">
      <c r="A22">
        <v>2014</v>
      </c>
      <c r="B22" t="s">
        <v>674</v>
      </c>
      <c r="C22" t="s">
        <v>677</v>
      </c>
      <c r="D22" t="s">
        <v>37</v>
      </c>
      <c r="E22">
        <v>1</v>
      </c>
      <c r="F22">
        <v>3</v>
      </c>
      <c r="G22" t="s">
        <v>676</v>
      </c>
      <c r="H22" t="s">
        <v>17</v>
      </c>
      <c r="I22">
        <v>6.9</v>
      </c>
      <c r="J22">
        <v>5.7</v>
      </c>
      <c r="K22">
        <v>6.4</v>
      </c>
      <c r="L22">
        <v>44</v>
      </c>
      <c r="M22">
        <v>147</v>
      </c>
      <c r="O22">
        <f t="shared" si="0"/>
        <v>147</v>
      </c>
      <c r="P22">
        <f t="shared" si="1"/>
        <v>1</v>
      </c>
    </row>
    <row r="23" spans="1:16" x14ac:dyDescent="0.25">
      <c r="A23">
        <v>2014</v>
      </c>
      <c r="B23" t="s">
        <v>265</v>
      </c>
      <c r="C23" t="s">
        <v>286</v>
      </c>
      <c r="D23" t="s">
        <v>35</v>
      </c>
      <c r="E23">
        <v>1</v>
      </c>
      <c r="F23">
        <v>4</v>
      </c>
      <c r="G23" t="s">
        <v>126</v>
      </c>
      <c r="H23" t="s">
        <v>143</v>
      </c>
      <c r="I23">
        <v>7.5</v>
      </c>
      <c r="J23">
        <v>5.5</v>
      </c>
      <c r="K23">
        <v>6.6</v>
      </c>
      <c r="L23">
        <v>43</v>
      </c>
      <c r="M23">
        <v>152</v>
      </c>
      <c r="O23">
        <f t="shared" si="0"/>
        <v>152</v>
      </c>
      <c r="P23">
        <f t="shared" si="1"/>
        <v>1</v>
      </c>
    </row>
    <row r="24" spans="1:16" x14ac:dyDescent="0.25">
      <c r="A24">
        <v>2014</v>
      </c>
      <c r="B24" t="s">
        <v>593</v>
      </c>
      <c r="C24" t="s">
        <v>616</v>
      </c>
      <c r="D24" t="s">
        <v>15</v>
      </c>
      <c r="E24">
        <v>1.6</v>
      </c>
      <c r="F24">
        <v>4</v>
      </c>
      <c r="G24" t="s">
        <v>209</v>
      </c>
      <c r="H24" t="s">
        <v>143</v>
      </c>
      <c r="I24">
        <v>7.2</v>
      </c>
      <c r="J24">
        <v>5.8</v>
      </c>
      <c r="K24">
        <v>6.6</v>
      </c>
      <c r="L24">
        <v>43</v>
      </c>
      <c r="M24">
        <v>152</v>
      </c>
      <c r="O24">
        <f t="shared" si="0"/>
        <v>243.20000000000002</v>
      </c>
      <c r="P24">
        <f t="shared" si="1"/>
        <v>2.5600000000000005</v>
      </c>
    </row>
    <row r="25" spans="1:16" x14ac:dyDescent="0.25">
      <c r="A25">
        <v>2014</v>
      </c>
      <c r="B25" t="s">
        <v>90</v>
      </c>
      <c r="C25" t="s">
        <v>93</v>
      </c>
      <c r="D25" t="s">
        <v>15</v>
      </c>
      <c r="E25">
        <v>2</v>
      </c>
      <c r="F25">
        <v>4</v>
      </c>
      <c r="G25" t="s">
        <v>53</v>
      </c>
      <c r="H25" t="s">
        <v>50</v>
      </c>
      <c r="I25">
        <v>7.6</v>
      </c>
      <c r="J25">
        <v>5.5</v>
      </c>
      <c r="K25">
        <v>6.7</v>
      </c>
      <c r="L25">
        <v>42</v>
      </c>
      <c r="M25">
        <v>181</v>
      </c>
      <c r="O25">
        <f t="shared" si="0"/>
        <v>362</v>
      </c>
      <c r="P25">
        <f t="shared" si="1"/>
        <v>4</v>
      </c>
    </row>
    <row r="26" spans="1:16" x14ac:dyDescent="0.25">
      <c r="A26">
        <v>2014</v>
      </c>
      <c r="B26" t="s">
        <v>90</v>
      </c>
      <c r="C26" t="s">
        <v>94</v>
      </c>
      <c r="D26" t="s">
        <v>59</v>
      </c>
      <c r="E26">
        <v>2</v>
      </c>
      <c r="F26">
        <v>4</v>
      </c>
      <c r="G26" t="s">
        <v>53</v>
      </c>
      <c r="H26" t="s">
        <v>50</v>
      </c>
      <c r="I26">
        <v>7.6</v>
      </c>
      <c r="J26">
        <v>5.5</v>
      </c>
      <c r="K26">
        <v>6.7</v>
      </c>
      <c r="L26">
        <v>42</v>
      </c>
      <c r="M26">
        <v>181</v>
      </c>
      <c r="O26">
        <f t="shared" si="0"/>
        <v>362</v>
      </c>
      <c r="P26">
        <f t="shared" si="1"/>
        <v>4</v>
      </c>
    </row>
    <row r="27" spans="1:16" x14ac:dyDescent="0.25">
      <c r="A27">
        <v>2014</v>
      </c>
      <c r="B27" t="s">
        <v>257</v>
      </c>
      <c r="C27" t="s">
        <v>262</v>
      </c>
      <c r="D27" t="s">
        <v>32</v>
      </c>
      <c r="E27">
        <v>1.4</v>
      </c>
      <c r="F27">
        <v>4</v>
      </c>
      <c r="G27" t="s">
        <v>126</v>
      </c>
      <c r="H27" t="s">
        <v>143</v>
      </c>
      <c r="I27">
        <v>7.6</v>
      </c>
      <c r="J27">
        <v>5.9</v>
      </c>
      <c r="K27">
        <v>6.8</v>
      </c>
      <c r="L27">
        <v>42</v>
      </c>
      <c r="M27">
        <v>156</v>
      </c>
      <c r="O27">
        <f t="shared" si="0"/>
        <v>218.39999999999998</v>
      </c>
      <c r="P27">
        <f t="shared" si="1"/>
        <v>1.9599999999999997</v>
      </c>
    </row>
    <row r="28" spans="1:16" x14ac:dyDescent="0.25">
      <c r="A28">
        <v>2014</v>
      </c>
      <c r="B28" t="s">
        <v>691</v>
      </c>
      <c r="C28" t="s">
        <v>699</v>
      </c>
      <c r="D28" t="s">
        <v>26</v>
      </c>
      <c r="E28">
        <v>1.8</v>
      </c>
      <c r="F28">
        <v>4</v>
      </c>
      <c r="G28" t="s">
        <v>209</v>
      </c>
      <c r="H28" t="s">
        <v>143</v>
      </c>
      <c r="I28">
        <v>7.7</v>
      </c>
      <c r="J28">
        <v>5.6</v>
      </c>
      <c r="K28">
        <v>6.8</v>
      </c>
      <c r="L28">
        <v>42</v>
      </c>
      <c r="M28">
        <v>156</v>
      </c>
      <c r="O28">
        <f t="shared" si="0"/>
        <v>280.8</v>
      </c>
      <c r="P28">
        <f t="shared" si="1"/>
        <v>3.24</v>
      </c>
    </row>
    <row r="29" spans="1:16" x14ac:dyDescent="0.25">
      <c r="A29">
        <v>2014</v>
      </c>
      <c r="B29" t="s">
        <v>723</v>
      </c>
      <c r="C29" t="s">
        <v>737</v>
      </c>
      <c r="D29" t="s">
        <v>26</v>
      </c>
      <c r="E29">
        <v>2</v>
      </c>
      <c r="F29">
        <v>4</v>
      </c>
      <c r="G29" t="s">
        <v>18</v>
      </c>
      <c r="H29" t="s">
        <v>50</v>
      </c>
      <c r="I29">
        <v>8</v>
      </c>
      <c r="J29">
        <v>5.4</v>
      </c>
      <c r="K29">
        <v>6.8</v>
      </c>
      <c r="L29">
        <v>42</v>
      </c>
      <c r="M29">
        <v>184</v>
      </c>
      <c r="O29">
        <f t="shared" si="0"/>
        <v>368</v>
      </c>
      <c r="P29">
        <f t="shared" si="1"/>
        <v>4</v>
      </c>
    </row>
    <row r="30" spans="1:16" x14ac:dyDescent="0.25">
      <c r="A30">
        <v>2014</v>
      </c>
      <c r="B30" t="s">
        <v>175</v>
      </c>
      <c r="C30" t="s">
        <v>208</v>
      </c>
      <c r="D30" t="s">
        <v>35</v>
      </c>
      <c r="E30">
        <v>1.2</v>
      </c>
      <c r="F30">
        <v>4</v>
      </c>
      <c r="G30" t="s">
        <v>209</v>
      </c>
      <c r="H30" t="s">
        <v>143</v>
      </c>
      <c r="I30">
        <v>7.7</v>
      </c>
      <c r="J30">
        <v>6</v>
      </c>
      <c r="K30">
        <v>6.9</v>
      </c>
      <c r="L30">
        <v>41</v>
      </c>
      <c r="M30">
        <v>159</v>
      </c>
      <c r="O30">
        <f t="shared" si="0"/>
        <v>190.79999999999998</v>
      </c>
      <c r="P30">
        <f t="shared" si="1"/>
        <v>1.44</v>
      </c>
    </row>
    <row r="31" spans="1:16" x14ac:dyDescent="0.25">
      <c r="A31">
        <v>2014</v>
      </c>
      <c r="B31" t="s">
        <v>175</v>
      </c>
      <c r="C31" t="s">
        <v>208</v>
      </c>
      <c r="D31" t="s">
        <v>35</v>
      </c>
      <c r="E31">
        <v>1.2</v>
      </c>
      <c r="F31">
        <v>4</v>
      </c>
      <c r="G31" t="s">
        <v>126</v>
      </c>
      <c r="H31" t="s">
        <v>143</v>
      </c>
      <c r="I31">
        <v>7.6</v>
      </c>
      <c r="J31">
        <v>6</v>
      </c>
      <c r="K31">
        <v>6.9</v>
      </c>
      <c r="L31">
        <v>41</v>
      </c>
      <c r="M31">
        <v>159</v>
      </c>
      <c r="O31">
        <f t="shared" si="0"/>
        <v>190.79999999999998</v>
      </c>
      <c r="P31">
        <f t="shared" si="1"/>
        <v>1.44</v>
      </c>
    </row>
    <row r="32" spans="1:16" x14ac:dyDescent="0.25">
      <c r="A32">
        <v>2014</v>
      </c>
      <c r="B32" t="s">
        <v>329</v>
      </c>
      <c r="C32" t="s">
        <v>336</v>
      </c>
      <c r="D32" t="s">
        <v>37</v>
      </c>
      <c r="E32">
        <v>1.5</v>
      </c>
      <c r="F32">
        <v>4</v>
      </c>
      <c r="G32" t="s">
        <v>18</v>
      </c>
      <c r="H32" t="s">
        <v>143</v>
      </c>
      <c r="I32">
        <v>7.6</v>
      </c>
      <c r="J32">
        <v>6.1</v>
      </c>
      <c r="K32">
        <v>6.9</v>
      </c>
      <c r="L32">
        <v>41</v>
      </c>
      <c r="M32">
        <v>159</v>
      </c>
      <c r="O32">
        <f t="shared" si="0"/>
        <v>238.5</v>
      </c>
      <c r="P32">
        <f t="shared" si="1"/>
        <v>2.25</v>
      </c>
    </row>
    <row r="33" spans="1:16" x14ac:dyDescent="0.25">
      <c r="A33">
        <v>2014</v>
      </c>
      <c r="B33" t="s">
        <v>490</v>
      </c>
      <c r="C33" t="s">
        <v>496</v>
      </c>
      <c r="D33" t="s">
        <v>15</v>
      </c>
      <c r="E33">
        <v>2</v>
      </c>
      <c r="F33">
        <v>4</v>
      </c>
      <c r="G33" t="s">
        <v>23</v>
      </c>
      <c r="H33" t="s">
        <v>143</v>
      </c>
      <c r="I33">
        <v>7.9</v>
      </c>
      <c r="J33">
        <v>5.7</v>
      </c>
      <c r="K33">
        <v>6.9</v>
      </c>
      <c r="L33">
        <v>41</v>
      </c>
      <c r="M33">
        <v>159</v>
      </c>
      <c r="O33">
        <f t="shared" si="0"/>
        <v>318</v>
      </c>
      <c r="P33">
        <f t="shared" si="1"/>
        <v>4</v>
      </c>
    </row>
    <row r="34" spans="1:16" x14ac:dyDescent="0.25">
      <c r="A34">
        <v>2014</v>
      </c>
      <c r="B34" t="s">
        <v>691</v>
      </c>
      <c r="C34" t="s">
        <v>700</v>
      </c>
      <c r="D34" t="s">
        <v>26</v>
      </c>
      <c r="E34">
        <v>1.8</v>
      </c>
      <c r="F34">
        <v>4</v>
      </c>
      <c r="G34" t="s">
        <v>209</v>
      </c>
      <c r="H34" t="s">
        <v>143</v>
      </c>
      <c r="I34">
        <v>7.8</v>
      </c>
      <c r="J34">
        <v>5.9</v>
      </c>
      <c r="K34">
        <v>6.9</v>
      </c>
      <c r="L34">
        <v>41</v>
      </c>
      <c r="M34">
        <v>159</v>
      </c>
      <c r="O34">
        <f t="shared" si="0"/>
        <v>286.2</v>
      </c>
      <c r="P34">
        <f t="shared" si="1"/>
        <v>3.24</v>
      </c>
    </row>
    <row r="35" spans="1:16" x14ac:dyDescent="0.25">
      <c r="A35">
        <v>2014</v>
      </c>
      <c r="B35" t="s">
        <v>723</v>
      </c>
      <c r="C35" t="s">
        <v>731</v>
      </c>
      <c r="D35" t="s">
        <v>59</v>
      </c>
      <c r="E35">
        <v>2</v>
      </c>
      <c r="F35">
        <v>4</v>
      </c>
      <c r="G35" t="s">
        <v>18</v>
      </c>
      <c r="H35" t="s">
        <v>50</v>
      </c>
      <c r="I35">
        <v>7.9</v>
      </c>
      <c r="J35">
        <v>5.6</v>
      </c>
      <c r="K35">
        <v>6.9</v>
      </c>
      <c r="L35">
        <v>41</v>
      </c>
      <c r="M35">
        <v>186</v>
      </c>
      <c r="O35">
        <f t="shared" si="0"/>
        <v>372</v>
      </c>
      <c r="P35">
        <f t="shared" si="1"/>
        <v>4</v>
      </c>
    </row>
    <row r="36" spans="1:16" x14ac:dyDescent="0.25">
      <c r="A36">
        <v>2014</v>
      </c>
      <c r="B36" t="s">
        <v>723</v>
      </c>
      <c r="C36" t="s">
        <v>734</v>
      </c>
      <c r="D36" t="s">
        <v>15</v>
      </c>
      <c r="E36">
        <v>2</v>
      </c>
      <c r="F36">
        <v>4</v>
      </c>
      <c r="G36" t="s">
        <v>33</v>
      </c>
      <c r="H36" t="s">
        <v>50</v>
      </c>
      <c r="I36">
        <v>7.9</v>
      </c>
      <c r="J36">
        <v>5.7</v>
      </c>
      <c r="K36">
        <v>6.9</v>
      </c>
      <c r="L36">
        <v>41</v>
      </c>
      <c r="M36">
        <v>186</v>
      </c>
      <c r="O36">
        <f t="shared" si="0"/>
        <v>372</v>
      </c>
      <c r="P36">
        <f t="shared" si="1"/>
        <v>4</v>
      </c>
    </row>
    <row r="37" spans="1:16" x14ac:dyDescent="0.25">
      <c r="A37">
        <v>2014</v>
      </c>
      <c r="B37" t="s">
        <v>723</v>
      </c>
      <c r="C37" t="s">
        <v>734</v>
      </c>
      <c r="D37" t="s">
        <v>15</v>
      </c>
      <c r="E37">
        <v>2</v>
      </c>
      <c r="F37">
        <v>4</v>
      </c>
      <c r="G37" t="s">
        <v>18</v>
      </c>
      <c r="H37" t="s">
        <v>50</v>
      </c>
      <c r="I37">
        <v>7.9</v>
      </c>
      <c r="J37">
        <v>5.6</v>
      </c>
      <c r="K37">
        <v>6.9</v>
      </c>
      <c r="L37">
        <v>41</v>
      </c>
      <c r="M37">
        <v>186</v>
      </c>
      <c r="O37">
        <f t="shared" si="0"/>
        <v>372</v>
      </c>
      <c r="P37">
        <f t="shared" si="1"/>
        <v>4</v>
      </c>
    </row>
    <row r="38" spans="1:16" x14ac:dyDescent="0.25">
      <c r="A38">
        <v>2014</v>
      </c>
      <c r="B38" t="s">
        <v>265</v>
      </c>
      <c r="C38" t="s">
        <v>286</v>
      </c>
      <c r="D38" t="s">
        <v>35</v>
      </c>
      <c r="E38">
        <v>1.6</v>
      </c>
      <c r="F38">
        <v>4</v>
      </c>
      <c r="G38" t="s">
        <v>23</v>
      </c>
      <c r="H38" t="s">
        <v>143</v>
      </c>
      <c r="I38">
        <v>8</v>
      </c>
      <c r="J38">
        <v>5.8</v>
      </c>
      <c r="K38">
        <v>7</v>
      </c>
      <c r="L38">
        <v>40</v>
      </c>
      <c r="M38">
        <v>161</v>
      </c>
      <c r="O38">
        <f t="shared" si="0"/>
        <v>257.60000000000002</v>
      </c>
      <c r="P38">
        <f t="shared" si="1"/>
        <v>2.5600000000000005</v>
      </c>
    </row>
    <row r="39" spans="1:16" x14ac:dyDescent="0.25">
      <c r="A39">
        <v>2014</v>
      </c>
      <c r="B39" t="s">
        <v>329</v>
      </c>
      <c r="C39" t="s">
        <v>332</v>
      </c>
      <c r="D39" t="s">
        <v>15</v>
      </c>
      <c r="E39">
        <v>1.8</v>
      </c>
      <c r="F39">
        <v>4</v>
      </c>
      <c r="G39" t="s">
        <v>209</v>
      </c>
      <c r="H39" t="s">
        <v>143</v>
      </c>
      <c r="I39">
        <v>7.9</v>
      </c>
      <c r="J39">
        <v>6</v>
      </c>
      <c r="K39">
        <v>7</v>
      </c>
      <c r="L39">
        <v>40</v>
      </c>
      <c r="M39">
        <v>161</v>
      </c>
      <c r="O39">
        <f t="shared" si="0"/>
        <v>289.8</v>
      </c>
      <c r="P39">
        <f t="shared" si="1"/>
        <v>3.24</v>
      </c>
    </row>
    <row r="40" spans="1:16" x14ac:dyDescent="0.25">
      <c r="A40">
        <v>2014</v>
      </c>
      <c r="B40" t="s">
        <v>490</v>
      </c>
      <c r="C40" t="s">
        <v>496</v>
      </c>
      <c r="D40" t="s">
        <v>15</v>
      </c>
      <c r="E40">
        <v>2</v>
      </c>
      <c r="F40">
        <v>4</v>
      </c>
      <c r="G40" t="s">
        <v>18</v>
      </c>
      <c r="H40" t="s">
        <v>143</v>
      </c>
      <c r="I40">
        <v>8</v>
      </c>
      <c r="J40">
        <v>5.8</v>
      </c>
      <c r="K40">
        <v>7</v>
      </c>
      <c r="L40">
        <v>40</v>
      </c>
      <c r="M40">
        <v>161</v>
      </c>
      <c r="O40">
        <f t="shared" si="0"/>
        <v>322</v>
      </c>
      <c r="P40">
        <f t="shared" si="1"/>
        <v>4</v>
      </c>
    </row>
    <row r="41" spans="1:16" x14ac:dyDescent="0.25">
      <c r="A41">
        <v>2014</v>
      </c>
      <c r="B41" t="s">
        <v>490</v>
      </c>
      <c r="C41" t="s">
        <v>498</v>
      </c>
      <c r="D41" t="s">
        <v>15</v>
      </c>
      <c r="E41">
        <v>2</v>
      </c>
      <c r="F41">
        <v>4</v>
      </c>
      <c r="G41" t="s">
        <v>18</v>
      </c>
      <c r="H41" t="s">
        <v>143</v>
      </c>
      <c r="I41">
        <v>8</v>
      </c>
      <c r="J41">
        <v>5.8</v>
      </c>
      <c r="K41">
        <v>7</v>
      </c>
      <c r="L41">
        <v>40</v>
      </c>
      <c r="M41">
        <v>161</v>
      </c>
      <c r="O41">
        <f t="shared" si="0"/>
        <v>322</v>
      </c>
      <c r="P41">
        <f t="shared" si="1"/>
        <v>4</v>
      </c>
    </row>
    <row r="42" spans="1:16" x14ac:dyDescent="0.25">
      <c r="A42">
        <v>2014</v>
      </c>
      <c r="B42" t="s">
        <v>593</v>
      </c>
      <c r="C42" t="s">
        <v>613</v>
      </c>
      <c r="D42" t="s">
        <v>26</v>
      </c>
      <c r="E42">
        <v>1.8</v>
      </c>
      <c r="F42">
        <v>4</v>
      </c>
      <c r="G42" t="s">
        <v>209</v>
      </c>
      <c r="H42" t="s">
        <v>143</v>
      </c>
      <c r="I42">
        <v>7.8</v>
      </c>
      <c r="J42">
        <v>6</v>
      </c>
      <c r="K42">
        <v>7</v>
      </c>
      <c r="L42">
        <v>40</v>
      </c>
      <c r="M42">
        <v>161</v>
      </c>
      <c r="O42">
        <f t="shared" si="0"/>
        <v>289.8</v>
      </c>
      <c r="P42">
        <f t="shared" si="1"/>
        <v>3.24</v>
      </c>
    </row>
    <row r="43" spans="1:16" x14ac:dyDescent="0.25">
      <c r="A43">
        <v>2014</v>
      </c>
      <c r="B43" t="s">
        <v>175</v>
      </c>
      <c r="C43" t="s">
        <v>183</v>
      </c>
      <c r="D43" t="s">
        <v>26</v>
      </c>
      <c r="E43">
        <v>2</v>
      </c>
      <c r="F43">
        <v>4</v>
      </c>
      <c r="G43" t="s">
        <v>23</v>
      </c>
      <c r="H43" t="s">
        <v>50</v>
      </c>
      <c r="I43">
        <v>8.6999999999999993</v>
      </c>
      <c r="J43">
        <v>5.0999999999999996</v>
      </c>
      <c r="K43">
        <v>7.1</v>
      </c>
      <c r="L43">
        <v>40</v>
      </c>
      <c r="M43">
        <v>192</v>
      </c>
      <c r="O43">
        <f t="shared" si="0"/>
        <v>384</v>
      </c>
      <c r="P43">
        <f t="shared" si="1"/>
        <v>4</v>
      </c>
    </row>
    <row r="44" spans="1:16" x14ac:dyDescent="0.25">
      <c r="A44">
        <v>2014</v>
      </c>
      <c r="B44" t="s">
        <v>175</v>
      </c>
      <c r="C44" t="s">
        <v>184</v>
      </c>
      <c r="D44" t="s">
        <v>26</v>
      </c>
      <c r="E44">
        <v>1.4</v>
      </c>
      <c r="F44">
        <v>4</v>
      </c>
      <c r="G44" t="s">
        <v>18</v>
      </c>
      <c r="H44" t="s">
        <v>143</v>
      </c>
      <c r="I44">
        <v>8.4</v>
      </c>
      <c r="J44">
        <v>5.6</v>
      </c>
      <c r="K44">
        <v>7.1</v>
      </c>
      <c r="L44">
        <v>40</v>
      </c>
      <c r="M44">
        <v>163</v>
      </c>
      <c r="O44">
        <f t="shared" si="0"/>
        <v>228.2</v>
      </c>
      <c r="P44">
        <f t="shared" si="1"/>
        <v>1.9599999999999997</v>
      </c>
    </row>
    <row r="45" spans="1:16" x14ac:dyDescent="0.25">
      <c r="A45">
        <v>2014</v>
      </c>
      <c r="B45" t="s">
        <v>490</v>
      </c>
      <c r="C45" t="s">
        <v>499</v>
      </c>
      <c r="D45" t="s">
        <v>26</v>
      </c>
      <c r="E45">
        <v>2</v>
      </c>
      <c r="F45">
        <v>4</v>
      </c>
      <c r="G45" t="s">
        <v>23</v>
      </c>
      <c r="H45" t="s">
        <v>143</v>
      </c>
      <c r="I45">
        <v>8</v>
      </c>
      <c r="J45">
        <v>5.9</v>
      </c>
      <c r="K45">
        <v>7.1</v>
      </c>
      <c r="L45">
        <v>40</v>
      </c>
      <c r="M45">
        <v>163</v>
      </c>
      <c r="O45">
        <f t="shared" si="0"/>
        <v>326</v>
      </c>
      <c r="P45">
        <f t="shared" si="1"/>
        <v>4</v>
      </c>
    </row>
    <row r="46" spans="1:16" x14ac:dyDescent="0.25">
      <c r="A46">
        <v>2014</v>
      </c>
      <c r="B46" t="s">
        <v>691</v>
      </c>
      <c r="C46" t="s">
        <v>698</v>
      </c>
      <c r="D46" t="s">
        <v>26</v>
      </c>
      <c r="E46">
        <v>1.8</v>
      </c>
      <c r="F46">
        <v>4</v>
      </c>
      <c r="G46" t="s">
        <v>209</v>
      </c>
      <c r="H46" t="s">
        <v>143</v>
      </c>
      <c r="I46">
        <v>8</v>
      </c>
      <c r="J46">
        <v>5.9</v>
      </c>
      <c r="K46">
        <v>7.1</v>
      </c>
      <c r="L46">
        <v>40</v>
      </c>
      <c r="M46">
        <v>163</v>
      </c>
      <c r="O46">
        <f t="shared" si="0"/>
        <v>293.40000000000003</v>
      </c>
      <c r="P46">
        <f t="shared" si="1"/>
        <v>3.24</v>
      </c>
    </row>
    <row r="47" spans="1:16" x14ac:dyDescent="0.25">
      <c r="A47">
        <v>2014</v>
      </c>
      <c r="B47" t="s">
        <v>691</v>
      </c>
      <c r="C47" t="s">
        <v>722</v>
      </c>
      <c r="D47" t="s">
        <v>15</v>
      </c>
      <c r="E47">
        <v>1.5</v>
      </c>
      <c r="F47">
        <v>4</v>
      </c>
      <c r="G47" t="s">
        <v>126</v>
      </c>
      <c r="H47" t="s">
        <v>143</v>
      </c>
      <c r="I47">
        <v>7.8</v>
      </c>
      <c r="J47">
        <v>6.3</v>
      </c>
      <c r="K47">
        <v>7.1</v>
      </c>
      <c r="L47">
        <v>40</v>
      </c>
      <c r="M47">
        <v>163</v>
      </c>
      <c r="O47">
        <f t="shared" si="0"/>
        <v>244.5</v>
      </c>
      <c r="P47">
        <f t="shared" si="1"/>
        <v>2.25</v>
      </c>
    </row>
    <row r="48" spans="1:16" x14ac:dyDescent="0.25">
      <c r="A48">
        <v>2014</v>
      </c>
      <c r="B48" t="s">
        <v>723</v>
      </c>
      <c r="C48" t="s">
        <v>737</v>
      </c>
      <c r="D48" t="s">
        <v>26</v>
      </c>
      <c r="E48">
        <v>2</v>
      </c>
      <c r="F48">
        <v>4</v>
      </c>
      <c r="G48" t="s">
        <v>33</v>
      </c>
      <c r="H48" t="s">
        <v>50</v>
      </c>
      <c r="I48">
        <v>8.1</v>
      </c>
      <c r="J48">
        <v>5.9</v>
      </c>
      <c r="K48">
        <v>7.1</v>
      </c>
      <c r="L48">
        <v>40</v>
      </c>
      <c r="M48">
        <v>192</v>
      </c>
      <c r="O48">
        <f t="shared" si="0"/>
        <v>384</v>
      </c>
      <c r="P48">
        <f t="shared" si="1"/>
        <v>4</v>
      </c>
    </row>
    <row r="49" spans="1:16" x14ac:dyDescent="0.25">
      <c r="A49">
        <v>2014</v>
      </c>
      <c r="B49" t="s">
        <v>257</v>
      </c>
      <c r="C49" t="s">
        <v>260</v>
      </c>
      <c r="D49" t="s">
        <v>32</v>
      </c>
      <c r="E49">
        <v>1.4</v>
      </c>
      <c r="F49">
        <v>4</v>
      </c>
      <c r="G49" t="s">
        <v>126</v>
      </c>
      <c r="H49" t="s">
        <v>143</v>
      </c>
      <c r="I49">
        <v>7.9</v>
      </c>
      <c r="J49">
        <v>6.3</v>
      </c>
      <c r="K49">
        <v>7.2</v>
      </c>
      <c r="L49">
        <v>39</v>
      </c>
      <c r="M49">
        <v>166</v>
      </c>
      <c r="O49">
        <f t="shared" si="0"/>
        <v>232.39999999999998</v>
      </c>
      <c r="P49">
        <f t="shared" si="1"/>
        <v>1.9599999999999997</v>
      </c>
    </row>
    <row r="50" spans="1:16" x14ac:dyDescent="0.25">
      <c r="A50">
        <v>2014</v>
      </c>
      <c r="B50" t="s">
        <v>265</v>
      </c>
      <c r="C50" t="s">
        <v>293</v>
      </c>
      <c r="D50" t="s">
        <v>15</v>
      </c>
      <c r="E50">
        <v>2</v>
      </c>
      <c r="F50">
        <v>4</v>
      </c>
      <c r="G50" t="s">
        <v>33</v>
      </c>
      <c r="H50" t="s">
        <v>143</v>
      </c>
      <c r="I50">
        <v>8.4</v>
      </c>
      <c r="J50">
        <v>5.8</v>
      </c>
      <c r="K50">
        <v>7.2</v>
      </c>
      <c r="L50">
        <v>39</v>
      </c>
      <c r="M50">
        <v>166</v>
      </c>
      <c r="O50">
        <f t="shared" si="0"/>
        <v>332</v>
      </c>
      <c r="P50">
        <f t="shared" si="1"/>
        <v>4</v>
      </c>
    </row>
    <row r="51" spans="1:16" x14ac:dyDescent="0.25">
      <c r="A51">
        <v>2014</v>
      </c>
      <c r="B51" t="s">
        <v>329</v>
      </c>
      <c r="C51" t="s">
        <v>332</v>
      </c>
      <c r="D51" t="s">
        <v>15</v>
      </c>
      <c r="E51">
        <v>1.8</v>
      </c>
      <c r="F51">
        <v>4</v>
      </c>
      <c r="G51" t="s">
        <v>20</v>
      </c>
      <c r="H51" t="s">
        <v>143</v>
      </c>
      <c r="I51">
        <v>8.1</v>
      </c>
      <c r="J51">
        <v>6.2</v>
      </c>
      <c r="K51">
        <v>7.2</v>
      </c>
      <c r="L51">
        <v>39</v>
      </c>
      <c r="M51">
        <v>166</v>
      </c>
      <c r="O51">
        <f t="shared" si="0"/>
        <v>298.8</v>
      </c>
      <c r="P51">
        <f t="shared" si="1"/>
        <v>3.24</v>
      </c>
    </row>
    <row r="52" spans="1:16" x14ac:dyDescent="0.25">
      <c r="A52">
        <v>2014</v>
      </c>
      <c r="B52" t="s">
        <v>490</v>
      </c>
      <c r="C52" t="s">
        <v>499</v>
      </c>
      <c r="D52" t="s">
        <v>26</v>
      </c>
      <c r="E52">
        <v>2</v>
      </c>
      <c r="F52">
        <v>4</v>
      </c>
      <c r="G52" t="s">
        <v>18</v>
      </c>
      <c r="H52" t="s">
        <v>143</v>
      </c>
      <c r="I52">
        <v>8.1999999999999993</v>
      </c>
      <c r="J52">
        <v>5.9</v>
      </c>
      <c r="K52">
        <v>7.2</v>
      </c>
      <c r="L52">
        <v>39</v>
      </c>
      <c r="M52">
        <v>166</v>
      </c>
      <c r="O52">
        <f t="shared" si="0"/>
        <v>332</v>
      </c>
      <c r="P52">
        <f t="shared" si="1"/>
        <v>4</v>
      </c>
    </row>
    <row r="53" spans="1:16" x14ac:dyDescent="0.25">
      <c r="A53">
        <v>2014</v>
      </c>
      <c r="B53" t="s">
        <v>490</v>
      </c>
      <c r="C53" t="s">
        <v>501</v>
      </c>
      <c r="D53" t="s">
        <v>26</v>
      </c>
      <c r="E53">
        <v>2</v>
      </c>
      <c r="F53">
        <v>4</v>
      </c>
      <c r="G53" t="s">
        <v>18</v>
      </c>
      <c r="H53" t="s">
        <v>143</v>
      </c>
      <c r="I53">
        <v>8.1999999999999993</v>
      </c>
      <c r="J53">
        <v>5.9</v>
      </c>
      <c r="K53">
        <v>7.2</v>
      </c>
      <c r="L53">
        <v>39</v>
      </c>
      <c r="M53">
        <v>166</v>
      </c>
      <c r="O53">
        <f t="shared" si="0"/>
        <v>332</v>
      </c>
      <c r="P53">
        <f t="shared" si="1"/>
        <v>4</v>
      </c>
    </row>
    <row r="54" spans="1:16" x14ac:dyDescent="0.25">
      <c r="A54">
        <v>2014</v>
      </c>
      <c r="B54" t="s">
        <v>506</v>
      </c>
      <c r="C54" t="s">
        <v>524</v>
      </c>
      <c r="D54" t="s">
        <v>26</v>
      </c>
      <c r="E54">
        <v>2.1</v>
      </c>
      <c r="F54">
        <v>4</v>
      </c>
      <c r="G54" t="s">
        <v>360</v>
      </c>
      <c r="H54" t="s">
        <v>50</v>
      </c>
      <c r="I54">
        <v>8.5</v>
      </c>
      <c r="J54">
        <v>5.7</v>
      </c>
      <c r="K54">
        <v>7.2</v>
      </c>
      <c r="L54">
        <v>39</v>
      </c>
      <c r="M54">
        <v>194</v>
      </c>
      <c r="O54">
        <f t="shared" si="0"/>
        <v>407.40000000000003</v>
      </c>
      <c r="P54">
        <f t="shared" si="1"/>
        <v>4.41</v>
      </c>
    </row>
    <row r="55" spans="1:16" x14ac:dyDescent="0.25">
      <c r="A55">
        <v>2014</v>
      </c>
      <c r="B55" t="s">
        <v>723</v>
      </c>
      <c r="C55" t="s">
        <v>731</v>
      </c>
      <c r="D55" t="s">
        <v>59</v>
      </c>
      <c r="E55">
        <v>2</v>
      </c>
      <c r="F55">
        <v>4</v>
      </c>
      <c r="G55" t="s">
        <v>33</v>
      </c>
      <c r="H55" t="s">
        <v>50</v>
      </c>
      <c r="I55">
        <v>8.1999999999999993</v>
      </c>
      <c r="J55">
        <v>6</v>
      </c>
      <c r="K55">
        <v>7.2</v>
      </c>
      <c r="L55">
        <v>39</v>
      </c>
      <c r="M55">
        <v>194</v>
      </c>
      <c r="O55">
        <f t="shared" si="0"/>
        <v>388</v>
      </c>
      <c r="P55">
        <f t="shared" si="1"/>
        <v>4</v>
      </c>
    </row>
    <row r="56" spans="1:16" x14ac:dyDescent="0.25">
      <c r="A56">
        <v>2014</v>
      </c>
      <c r="B56" t="s">
        <v>232</v>
      </c>
      <c r="C56" t="s">
        <v>249</v>
      </c>
      <c r="D56" t="s">
        <v>26</v>
      </c>
      <c r="E56">
        <v>1.4</v>
      </c>
      <c r="F56">
        <v>4</v>
      </c>
      <c r="G56" t="s">
        <v>250</v>
      </c>
      <c r="H56" t="s">
        <v>143</v>
      </c>
      <c r="I56">
        <v>8.4</v>
      </c>
      <c r="J56">
        <v>5.9</v>
      </c>
      <c r="K56">
        <v>7.3</v>
      </c>
      <c r="L56">
        <v>39</v>
      </c>
      <c r="M56">
        <v>168</v>
      </c>
      <c r="O56">
        <f t="shared" si="0"/>
        <v>235.2</v>
      </c>
      <c r="P56">
        <f t="shared" si="1"/>
        <v>1.9599999999999997</v>
      </c>
    </row>
    <row r="57" spans="1:16" x14ac:dyDescent="0.25">
      <c r="A57">
        <v>2014</v>
      </c>
      <c r="B57" t="s">
        <v>232</v>
      </c>
      <c r="C57" t="s">
        <v>249</v>
      </c>
      <c r="D57" t="s">
        <v>26</v>
      </c>
      <c r="E57">
        <v>1.4</v>
      </c>
      <c r="F57">
        <v>4</v>
      </c>
      <c r="G57" t="s">
        <v>18</v>
      </c>
      <c r="H57" t="s">
        <v>143</v>
      </c>
      <c r="I57">
        <v>8.5</v>
      </c>
      <c r="J57">
        <v>5.8</v>
      </c>
      <c r="K57">
        <v>7.3</v>
      </c>
      <c r="L57">
        <v>39</v>
      </c>
      <c r="M57">
        <v>168</v>
      </c>
      <c r="O57">
        <f t="shared" si="0"/>
        <v>235.2</v>
      </c>
      <c r="P57">
        <f t="shared" si="1"/>
        <v>1.9599999999999997</v>
      </c>
    </row>
    <row r="58" spans="1:16" x14ac:dyDescent="0.25">
      <c r="A58">
        <v>2014</v>
      </c>
      <c r="B58" t="s">
        <v>490</v>
      </c>
      <c r="C58" t="s">
        <v>497</v>
      </c>
      <c r="D58" t="s">
        <v>15</v>
      </c>
      <c r="E58">
        <v>2.5</v>
      </c>
      <c r="F58">
        <v>4</v>
      </c>
      <c r="G58" t="s">
        <v>23</v>
      </c>
      <c r="H58" t="s">
        <v>143</v>
      </c>
      <c r="I58">
        <v>8.3000000000000007</v>
      </c>
      <c r="J58">
        <v>6.1</v>
      </c>
      <c r="K58">
        <v>7.3</v>
      </c>
      <c r="L58">
        <v>39</v>
      </c>
      <c r="M58">
        <v>168</v>
      </c>
      <c r="O58">
        <f t="shared" si="0"/>
        <v>420</v>
      </c>
      <c r="P58">
        <f t="shared" si="1"/>
        <v>6.25</v>
      </c>
    </row>
    <row r="59" spans="1:16" x14ac:dyDescent="0.25">
      <c r="A59">
        <v>2014</v>
      </c>
      <c r="B59" t="s">
        <v>490</v>
      </c>
      <c r="C59" t="s">
        <v>500</v>
      </c>
      <c r="D59" t="s">
        <v>26</v>
      </c>
      <c r="E59">
        <v>2.5</v>
      </c>
      <c r="F59">
        <v>4</v>
      </c>
      <c r="G59" t="s">
        <v>23</v>
      </c>
      <c r="H59" t="s">
        <v>143</v>
      </c>
      <c r="I59">
        <v>8.1999999999999993</v>
      </c>
      <c r="J59">
        <v>6.1</v>
      </c>
      <c r="K59">
        <v>7.3</v>
      </c>
      <c r="L59">
        <v>39</v>
      </c>
      <c r="M59">
        <v>168</v>
      </c>
      <c r="O59">
        <f t="shared" si="0"/>
        <v>420</v>
      </c>
      <c r="P59">
        <f t="shared" si="1"/>
        <v>6.25</v>
      </c>
    </row>
    <row r="60" spans="1:16" x14ac:dyDescent="0.25">
      <c r="A60">
        <v>2014</v>
      </c>
      <c r="B60" t="s">
        <v>490</v>
      </c>
      <c r="C60" t="s">
        <v>504</v>
      </c>
      <c r="D60" t="s">
        <v>26</v>
      </c>
      <c r="E60">
        <v>2.5</v>
      </c>
      <c r="F60">
        <v>4</v>
      </c>
      <c r="G60" t="s">
        <v>23</v>
      </c>
      <c r="H60" t="s">
        <v>143</v>
      </c>
      <c r="I60">
        <v>8.4</v>
      </c>
      <c r="J60">
        <v>5.9</v>
      </c>
      <c r="K60">
        <v>7.3</v>
      </c>
      <c r="L60">
        <v>39</v>
      </c>
      <c r="M60">
        <v>168</v>
      </c>
      <c r="O60">
        <f t="shared" si="0"/>
        <v>420</v>
      </c>
      <c r="P60">
        <f t="shared" si="1"/>
        <v>6.25</v>
      </c>
    </row>
    <row r="61" spans="1:16" x14ac:dyDescent="0.25">
      <c r="A61">
        <v>2014</v>
      </c>
      <c r="B61" t="s">
        <v>563</v>
      </c>
      <c r="C61" t="s">
        <v>567</v>
      </c>
      <c r="D61" t="s">
        <v>37</v>
      </c>
      <c r="E61">
        <v>1.6</v>
      </c>
      <c r="F61">
        <v>4</v>
      </c>
      <c r="G61" t="s">
        <v>18</v>
      </c>
      <c r="H61" t="s">
        <v>17</v>
      </c>
      <c r="I61">
        <v>8</v>
      </c>
      <c r="J61">
        <v>6.4</v>
      </c>
      <c r="K61">
        <v>7.3</v>
      </c>
      <c r="L61">
        <v>39</v>
      </c>
      <c r="M61">
        <v>168</v>
      </c>
      <c r="O61">
        <f t="shared" si="0"/>
        <v>268.8</v>
      </c>
      <c r="P61">
        <f t="shared" si="1"/>
        <v>2.5600000000000005</v>
      </c>
    </row>
    <row r="62" spans="1:16" x14ac:dyDescent="0.25">
      <c r="A62">
        <v>2014</v>
      </c>
      <c r="B62" t="s">
        <v>691</v>
      </c>
      <c r="C62" t="s">
        <v>698</v>
      </c>
      <c r="D62" t="s">
        <v>26</v>
      </c>
      <c r="E62">
        <v>1.8</v>
      </c>
      <c r="F62">
        <v>4</v>
      </c>
      <c r="G62" t="s">
        <v>20</v>
      </c>
      <c r="H62" t="s">
        <v>143</v>
      </c>
      <c r="I62">
        <v>8.1</v>
      </c>
      <c r="J62">
        <v>6.3</v>
      </c>
      <c r="K62">
        <v>7.3</v>
      </c>
      <c r="L62">
        <v>39</v>
      </c>
      <c r="M62">
        <v>168</v>
      </c>
      <c r="O62">
        <f t="shared" si="0"/>
        <v>302.40000000000003</v>
      </c>
      <c r="P62">
        <f t="shared" si="1"/>
        <v>3.24</v>
      </c>
    </row>
    <row r="63" spans="1:16" x14ac:dyDescent="0.25">
      <c r="A63">
        <v>2014</v>
      </c>
      <c r="B63" t="s">
        <v>691</v>
      </c>
      <c r="C63" t="s">
        <v>722</v>
      </c>
      <c r="D63" t="s">
        <v>15</v>
      </c>
      <c r="E63">
        <v>1.5</v>
      </c>
      <c r="F63">
        <v>4</v>
      </c>
      <c r="G63" t="s">
        <v>42</v>
      </c>
      <c r="H63" t="s">
        <v>143</v>
      </c>
      <c r="I63">
        <v>7.9</v>
      </c>
      <c r="J63">
        <v>6.6</v>
      </c>
      <c r="K63">
        <v>7.3</v>
      </c>
      <c r="L63">
        <v>39</v>
      </c>
      <c r="M63">
        <v>168</v>
      </c>
      <c r="O63">
        <f t="shared" si="0"/>
        <v>252</v>
      </c>
      <c r="P63">
        <f t="shared" si="1"/>
        <v>2.25</v>
      </c>
    </row>
    <row r="64" spans="1:16" x14ac:dyDescent="0.25">
      <c r="A64">
        <v>2014</v>
      </c>
      <c r="B64" t="s">
        <v>723</v>
      </c>
      <c r="C64" t="s">
        <v>726</v>
      </c>
      <c r="D64" t="s">
        <v>15</v>
      </c>
      <c r="E64">
        <v>2</v>
      </c>
      <c r="F64">
        <v>4</v>
      </c>
      <c r="G64" t="s">
        <v>33</v>
      </c>
      <c r="H64" t="s">
        <v>50</v>
      </c>
      <c r="I64">
        <v>8.1999999999999993</v>
      </c>
      <c r="J64">
        <v>6.1</v>
      </c>
      <c r="K64">
        <v>7.3</v>
      </c>
      <c r="L64">
        <v>39</v>
      </c>
      <c r="M64">
        <v>197</v>
      </c>
      <c r="O64">
        <f t="shared" si="0"/>
        <v>394</v>
      </c>
      <c r="P64">
        <f t="shared" si="1"/>
        <v>4</v>
      </c>
    </row>
    <row r="65" spans="1:16" x14ac:dyDescent="0.25">
      <c r="A65">
        <v>2014</v>
      </c>
      <c r="B65" t="s">
        <v>723</v>
      </c>
      <c r="C65" t="s">
        <v>726</v>
      </c>
      <c r="D65" t="s">
        <v>15</v>
      </c>
      <c r="E65">
        <v>2</v>
      </c>
      <c r="F65">
        <v>4</v>
      </c>
      <c r="G65" t="s">
        <v>18</v>
      </c>
      <c r="H65" t="s">
        <v>50</v>
      </c>
      <c r="I65">
        <v>8.5</v>
      </c>
      <c r="J65">
        <v>5.8</v>
      </c>
      <c r="K65">
        <v>7.3</v>
      </c>
      <c r="L65">
        <v>39</v>
      </c>
      <c r="M65">
        <v>197</v>
      </c>
      <c r="O65">
        <f t="shared" si="0"/>
        <v>394</v>
      </c>
      <c r="P65">
        <f t="shared" si="1"/>
        <v>4</v>
      </c>
    </row>
    <row r="66" spans="1:16" x14ac:dyDescent="0.25">
      <c r="A66">
        <v>2014</v>
      </c>
      <c r="B66" t="s">
        <v>490</v>
      </c>
      <c r="C66" t="s">
        <v>495</v>
      </c>
      <c r="D66" t="s">
        <v>15</v>
      </c>
      <c r="E66">
        <v>1.5</v>
      </c>
      <c r="F66">
        <v>4</v>
      </c>
      <c r="G66" t="s">
        <v>126</v>
      </c>
      <c r="H66" t="s">
        <v>143</v>
      </c>
      <c r="I66">
        <v>8</v>
      </c>
      <c r="J66">
        <v>6.7</v>
      </c>
      <c r="K66">
        <v>7.4</v>
      </c>
      <c r="L66">
        <v>38</v>
      </c>
      <c r="M66">
        <v>170</v>
      </c>
      <c r="O66">
        <f t="shared" si="0"/>
        <v>255</v>
      </c>
      <c r="P66">
        <f t="shared" si="1"/>
        <v>2.25</v>
      </c>
    </row>
    <row r="67" spans="1:16" x14ac:dyDescent="0.25">
      <c r="A67">
        <v>2014</v>
      </c>
      <c r="B67" t="s">
        <v>490</v>
      </c>
      <c r="C67" t="s">
        <v>496</v>
      </c>
      <c r="D67" t="s">
        <v>15</v>
      </c>
      <c r="E67">
        <v>2.5</v>
      </c>
      <c r="F67">
        <v>4</v>
      </c>
      <c r="G67" t="s">
        <v>23</v>
      </c>
      <c r="H67" t="s">
        <v>143</v>
      </c>
      <c r="I67">
        <v>8.4</v>
      </c>
      <c r="J67">
        <v>6.1</v>
      </c>
      <c r="K67">
        <v>7.4</v>
      </c>
      <c r="L67">
        <v>38</v>
      </c>
      <c r="M67">
        <v>170</v>
      </c>
      <c r="O67">
        <f t="shared" ref="O67:O130" si="2">M67*E67</f>
        <v>425</v>
      </c>
      <c r="P67">
        <f t="shared" ref="P67:P130" si="3">E67*E67</f>
        <v>6.25</v>
      </c>
    </row>
    <row r="68" spans="1:16" x14ac:dyDescent="0.25">
      <c r="A68">
        <v>2014</v>
      </c>
      <c r="B68" t="s">
        <v>691</v>
      </c>
      <c r="C68" t="s">
        <v>698</v>
      </c>
      <c r="D68" t="s">
        <v>26</v>
      </c>
      <c r="E68">
        <v>1.8</v>
      </c>
      <c r="F68">
        <v>4</v>
      </c>
      <c r="G68" t="s">
        <v>18</v>
      </c>
      <c r="H68" t="s">
        <v>143</v>
      </c>
      <c r="I68">
        <v>8.3000000000000007</v>
      </c>
      <c r="J68">
        <v>6.3</v>
      </c>
      <c r="K68">
        <v>7.4</v>
      </c>
      <c r="L68">
        <v>38</v>
      </c>
      <c r="M68">
        <v>170</v>
      </c>
      <c r="O68">
        <f t="shared" si="2"/>
        <v>306</v>
      </c>
      <c r="P68">
        <f t="shared" si="3"/>
        <v>3.24</v>
      </c>
    </row>
    <row r="69" spans="1:16" x14ac:dyDescent="0.25">
      <c r="A69">
        <v>2014</v>
      </c>
      <c r="B69" t="s">
        <v>175</v>
      </c>
      <c r="C69" t="s">
        <v>204</v>
      </c>
      <c r="D69" t="s">
        <v>15</v>
      </c>
      <c r="E69">
        <v>1.4</v>
      </c>
      <c r="F69">
        <v>4</v>
      </c>
      <c r="G69" t="s">
        <v>18</v>
      </c>
      <c r="H69" t="s">
        <v>143</v>
      </c>
      <c r="I69">
        <v>8.5</v>
      </c>
      <c r="J69">
        <v>6.2</v>
      </c>
      <c r="K69">
        <v>7.5</v>
      </c>
      <c r="L69">
        <v>38</v>
      </c>
      <c r="M69">
        <v>173</v>
      </c>
      <c r="O69">
        <f t="shared" si="2"/>
        <v>242.2</v>
      </c>
      <c r="P69">
        <f t="shared" si="3"/>
        <v>1.9599999999999997</v>
      </c>
    </row>
    <row r="70" spans="1:16" x14ac:dyDescent="0.25">
      <c r="A70">
        <v>2014</v>
      </c>
      <c r="B70" t="s">
        <v>175</v>
      </c>
      <c r="C70" t="s">
        <v>205</v>
      </c>
      <c r="D70" t="s">
        <v>26</v>
      </c>
      <c r="E70">
        <v>1.4</v>
      </c>
      <c r="F70">
        <v>4</v>
      </c>
      <c r="G70" t="s">
        <v>18</v>
      </c>
      <c r="H70" t="s">
        <v>143</v>
      </c>
      <c r="I70">
        <v>8.5</v>
      </c>
      <c r="J70">
        <v>6.2</v>
      </c>
      <c r="K70">
        <v>7.5</v>
      </c>
      <c r="L70">
        <v>38</v>
      </c>
      <c r="M70">
        <v>172</v>
      </c>
      <c r="O70">
        <f t="shared" si="2"/>
        <v>240.79999999999998</v>
      </c>
      <c r="P70">
        <f t="shared" si="3"/>
        <v>1.9599999999999997</v>
      </c>
    </row>
    <row r="71" spans="1:16" x14ac:dyDescent="0.25">
      <c r="A71">
        <v>2014</v>
      </c>
      <c r="B71" t="s">
        <v>329</v>
      </c>
      <c r="C71" t="s">
        <v>337</v>
      </c>
      <c r="D71" t="s">
        <v>59</v>
      </c>
      <c r="E71">
        <v>1.5</v>
      </c>
      <c r="F71">
        <v>4</v>
      </c>
      <c r="G71" t="s">
        <v>224</v>
      </c>
      <c r="H71" t="s">
        <v>143</v>
      </c>
      <c r="I71">
        <v>8.3000000000000007</v>
      </c>
      <c r="J71">
        <v>6.5</v>
      </c>
      <c r="K71">
        <v>7.5</v>
      </c>
      <c r="L71">
        <v>38</v>
      </c>
      <c r="M71">
        <v>172</v>
      </c>
      <c r="O71">
        <f t="shared" si="2"/>
        <v>258</v>
      </c>
      <c r="P71">
        <f t="shared" si="3"/>
        <v>2.25</v>
      </c>
    </row>
    <row r="72" spans="1:16" x14ac:dyDescent="0.25">
      <c r="A72">
        <v>2014</v>
      </c>
      <c r="B72" t="s">
        <v>358</v>
      </c>
      <c r="C72" t="s">
        <v>362</v>
      </c>
      <c r="D72" t="s">
        <v>15</v>
      </c>
      <c r="E72">
        <v>3.5</v>
      </c>
      <c r="F72">
        <v>6</v>
      </c>
      <c r="G72" t="s">
        <v>360</v>
      </c>
      <c r="H72" t="s">
        <v>17</v>
      </c>
      <c r="I72">
        <v>8.1999999999999993</v>
      </c>
      <c r="J72">
        <v>6.7</v>
      </c>
      <c r="K72">
        <v>7.5</v>
      </c>
      <c r="L72">
        <v>38</v>
      </c>
      <c r="M72">
        <v>172</v>
      </c>
      <c r="O72">
        <f t="shared" si="2"/>
        <v>602</v>
      </c>
      <c r="P72">
        <f t="shared" si="3"/>
        <v>12.25</v>
      </c>
    </row>
    <row r="73" spans="1:16" x14ac:dyDescent="0.25">
      <c r="A73">
        <v>2014</v>
      </c>
      <c r="B73" t="s">
        <v>265</v>
      </c>
      <c r="C73" t="s">
        <v>285</v>
      </c>
      <c r="D73" t="s">
        <v>35</v>
      </c>
      <c r="E73">
        <v>1.6</v>
      </c>
      <c r="F73">
        <v>4</v>
      </c>
      <c r="G73" t="s">
        <v>23</v>
      </c>
      <c r="H73" t="s">
        <v>143</v>
      </c>
      <c r="I73">
        <v>8.5</v>
      </c>
      <c r="J73">
        <v>6.5</v>
      </c>
      <c r="K73">
        <v>7.6</v>
      </c>
      <c r="L73">
        <v>37</v>
      </c>
      <c r="M73">
        <v>175</v>
      </c>
      <c r="O73">
        <f t="shared" si="2"/>
        <v>280</v>
      </c>
      <c r="P73">
        <f t="shared" si="3"/>
        <v>2.5600000000000005</v>
      </c>
    </row>
    <row r="74" spans="1:16" x14ac:dyDescent="0.25">
      <c r="A74">
        <v>2014</v>
      </c>
      <c r="B74" t="s">
        <v>265</v>
      </c>
      <c r="C74" t="s">
        <v>285</v>
      </c>
      <c r="D74" t="s">
        <v>35</v>
      </c>
      <c r="E74">
        <v>1.6</v>
      </c>
      <c r="F74">
        <v>4</v>
      </c>
      <c r="G74" t="s">
        <v>126</v>
      </c>
      <c r="H74" t="s">
        <v>143</v>
      </c>
      <c r="I74">
        <v>8.6</v>
      </c>
      <c r="J74">
        <v>6.4</v>
      </c>
      <c r="K74">
        <v>7.6</v>
      </c>
      <c r="L74">
        <v>37</v>
      </c>
      <c r="M74">
        <v>175</v>
      </c>
      <c r="O74">
        <f t="shared" si="2"/>
        <v>280</v>
      </c>
      <c r="P74">
        <f t="shared" si="3"/>
        <v>2.5600000000000005</v>
      </c>
    </row>
    <row r="75" spans="1:16" x14ac:dyDescent="0.25">
      <c r="A75">
        <v>2014</v>
      </c>
      <c r="B75" t="s">
        <v>329</v>
      </c>
      <c r="C75" t="s">
        <v>332</v>
      </c>
      <c r="D75" t="s">
        <v>15</v>
      </c>
      <c r="E75">
        <v>1.8</v>
      </c>
      <c r="F75">
        <v>4</v>
      </c>
      <c r="G75" t="s">
        <v>126</v>
      </c>
      <c r="H75" t="s">
        <v>143</v>
      </c>
      <c r="I75">
        <v>8.5</v>
      </c>
      <c r="J75">
        <v>6.6</v>
      </c>
      <c r="K75">
        <v>7.6</v>
      </c>
      <c r="L75">
        <v>37</v>
      </c>
      <c r="M75">
        <v>175</v>
      </c>
      <c r="O75">
        <f t="shared" si="2"/>
        <v>315</v>
      </c>
      <c r="P75">
        <f t="shared" si="3"/>
        <v>3.24</v>
      </c>
    </row>
    <row r="76" spans="1:16" x14ac:dyDescent="0.25">
      <c r="A76">
        <v>2014</v>
      </c>
      <c r="B76" t="s">
        <v>358</v>
      </c>
      <c r="C76" t="s">
        <v>369</v>
      </c>
      <c r="D76" t="s">
        <v>26</v>
      </c>
      <c r="E76">
        <v>3.5</v>
      </c>
      <c r="F76">
        <v>6</v>
      </c>
      <c r="G76" t="s">
        <v>360</v>
      </c>
      <c r="H76" t="s">
        <v>17</v>
      </c>
      <c r="I76">
        <v>8</v>
      </c>
      <c r="J76">
        <v>7</v>
      </c>
      <c r="K76">
        <v>7.6</v>
      </c>
      <c r="L76">
        <v>37</v>
      </c>
      <c r="M76">
        <v>175</v>
      </c>
      <c r="O76">
        <f t="shared" si="2"/>
        <v>612.5</v>
      </c>
      <c r="P76">
        <f t="shared" si="3"/>
        <v>12.25</v>
      </c>
    </row>
    <row r="77" spans="1:16" x14ac:dyDescent="0.25">
      <c r="A77">
        <v>2014</v>
      </c>
      <c r="B77" t="s">
        <v>414</v>
      </c>
      <c r="C77" t="s">
        <v>420</v>
      </c>
      <c r="D77" t="s">
        <v>15</v>
      </c>
      <c r="E77">
        <v>1.6</v>
      </c>
      <c r="F77">
        <v>4</v>
      </c>
      <c r="G77" t="s">
        <v>33</v>
      </c>
      <c r="H77" t="s">
        <v>143</v>
      </c>
      <c r="I77">
        <v>8.6999999999999993</v>
      </c>
      <c r="J77">
        <v>6.3</v>
      </c>
      <c r="K77">
        <v>7.6</v>
      </c>
      <c r="L77">
        <v>37</v>
      </c>
      <c r="M77">
        <v>175</v>
      </c>
      <c r="O77">
        <f t="shared" si="2"/>
        <v>280</v>
      </c>
      <c r="P77">
        <f t="shared" si="3"/>
        <v>2.5600000000000005</v>
      </c>
    </row>
    <row r="78" spans="1:16" x14ac:dyDescent="0.25">
      <c r="A78">
        <v>2014</v>
      </c>
      <c r="B78" t="s">
        <v>414</v>
      </c>
      <c r="C78" t="s">
        <v>421</v>
      </c>
      <c r="D78" t="s">
        <v>15</v>
      </c>
      <c r="E78">
        <v>1.6</v>
      </c>
      <c r="F78">
        <v>4</v>
      </c>
      <c r="G78" t="s">
        <v>33</v>
      </c>
      <c r="H78" t="s">
        <v>143</v>
      </c>
      <c r="I78">
        <v>8.5</v>
      </c>
      <c r="J78">
        <v>6.4</v>
      </c>
      <c r="K78">
        <v>7.6</v>
      </c>
      <c r="L78">
        <v>37</v>
      </c>
      <c r="M78">
        <v>175</v>
      </c>
      <c r="O78">
        <f t="shared" si="2"/>
        <v>280</v>
      </c>
      <c r="P78">
        <f t="shared" si="3"/>
        <v>2.5600000000000005</v>
      </c>
    </row>
    <row r="79" spans="1:16" x14ac:dyDescent="0.25">
      <c r="A79">
        <v>2014</v>
      </c>
      <c r="B79" t="s">
        <v>450</v>
      </c>
      <c r="C79" t="s">
        <v>457</v>
      </c>
      <c r="D79" t="s">
        <v>26</v>
      </c>
      <c r="E79">
        <v>3.5</v>
      </c>
      <c r="F79">
        <v>6</v>
      </c>
      <c r="G79" t="s">
        <v>43</v>
      </c>
      <c r="H79" t="s">
        <v>17</v>
      </c>
      <c r="I79">
        <v>7.7</v>
      </c>
      <c r="J79">
        <v>7.4</v>
      </c>
      <c r="K79">
        <v>7.6</v>
      </c>
      <c r="L79">
        <v>37</v>
      </c>
      <c r="M79">
        <v>175</v>
      </c>
      <c r="O79">
        <f t="shared" si="2"/>
        <v>612.5</v>
      </c>
      <c r="P79">
        <f t="shared" si="3"/>
        <v>12.25</v>
      </c>
    </row>
    <row r="80" spans="1:16" x14ac:dyDescent="0.25">
      <c r="A80">
        <v>2014</v>
      </c>
      <c r="B80" t="s">
        <v>490</v>
      </c>
      <c r="C80" t="s">
        <v>503</v>
      </c>
      <c r="D80" t="s">
        <v>26</v>
      </c>
      <c r="E80">
        <v>2.5</v>
      </c>
      <c r="F80">
        <v>4</v>
      </c>
      <c r="G80" t="s">
        <v>23</v>
      </c>
      <c r="H80" t="s">
        <v>143</v>
      </c>
      <c r="I80">
        <v>8.8000000000000007</v>
      </c>
      <c r="J80">
        <v>6.2</v>
      </c>
      <c r="K80">
        <v>7.6</v>
      </c>
      <c r="L80">
        <v>37</v>
      </c>
      <c r="M80">
        <v>175</v>
      </c>
      <c r="O80">
        <f t="shared" si="2"/>
        <v>437.5</v>
      </c>
      <c r="P80">
        <f t="shared" si="3"/>
        <v>6.25</v>
      </c>
    </row>
    <row r="81" spans="1:16" x14ac:dyDescent="0.25">
      <c r="A81">
        <v>2014</v>
      </c>
      <c r="B81" t="s">
        <v>563</v>
      </c>
      <c r="C81" t="s">
        <v>567</v>
      </c>
      <c r="D81" t="s">
        <v>37</v>
      </c>
      <c r="E81">
        <v>1.6</v>
      </c>
      <c r="F81">
        <v>4</v>
      </c>
      <c r="G81" t="s">
        <v>33</v>
      </c>
      <c r="H81" t="s">
        <v>17</v>
      </c>
      <c r="I81">
        <v>8.5</v>
      </c>
      <c r="J81">
        <v>6.6</v>
      </c>
      <c r="K81">
        <v>7.6</v>
      </c>
      <c r="L81">
        <v>37</v>
      </c>
      <c r="M81">
        <v>175</v>
      </c>
      <c r="O81">
        <f t="shared" si="2"/>
        <v>280</v>
      </c>
      <c r="P81">
        <f t="shared" si="3"/>
        <v>2.5600000000000005</v>
      </c>
    </row>
    <row r="82" spans="1:16" x14ac:dyDescent="0.25">
      <c r="A82">
        <v>2014</v>
      </c>
      <c r="B82" t="s">
        <v>593</v>
      </c>
      <c r="C82" t="s">
        <v>596</v>
      </c>
      <c r="D82" t="s">
        <v>26</v>
      </c>
      <c r="E82">
        <v>2.5</v>
      </c>
      <c r="F82">
        <v>4</v>
      </c>
      <c r="G82" t="s">
        <v>209</v>
      </c>
      <c r="H82" t="s">
        <v>143</v>
      </c>
      <c r="I82">
        <v>8.6999999999999993</v>
      </c>
      <c r="J82">
        <v>6.2</v>
      </c>
      <c r="K82">
        <v>7.6</v>
      </c>
      <c r="L82">
        <v>37</v>
      </c>
      <c r="M82">
        <v>175</v>
      </c>
      <c r="O82">
        <f t="shared" si="2"/>
        <v>437.5</v>
      </c>
      <c r="P82">
        <f t="shared" si="3"/>
        <v>6.25</v>
      </c>
    </row>
    <row r="83" spans="1:16" x14ac:dyDescent="0.25">
      <c r="A83">
        <v>2014</v>
      </c>
      <c r="B83" t="s">
        <v>175</v>
      </c>
      <c r="C83" t="s">
        <v>184</v>
      </c>
      <c r="D83" t="s">
        <v>26</v>
      </c>
      <c r="E83">
        <v>1.4</v>
      </c>
      <c r="F83">
        <v>4</v>
      </c>
      <c r="G83" t="s">
        <v>33</v>
      </c>
      <c r="H83" t="s">
        <v>143</v>
      </c>
      <c r="I83">
        <v>9.1</v>
      </c>
      <c r="J83">
        <v>6</v>
      </c>
      <c r="K83">
        <v>7.7</v>
      </c>
      <c r="L83">
        <v>37</v>
      </c>
      <c r="M83">
        <v>177</v>
      </c>
      <c r="O83">
        <f t="shared" si="2"/>
        <v>247.79999999999998</v>
      </c>
      <c r="P83">
        <f t="shared" si="3"/>
        <v>1.9599999999999997</v>
      </c>
    </row>
    <row r="84" spans="1:16" x14ac:dyDescent="0.25">
      <c r="A84">
        <v>2014</v>
      </c>
      <c r="B84" t="s">
        <v>265</v>
      </c>
      <c r="C84" t="s">
        <v>292</v>
      </c>
      <c r="D84" t="s">
        <v>15</v>
      </c>
      <c r="E84">
        <v>2</v>
      </c>
      <c r="F84">
        <v>4</v>
      </c>
      <c r="G84" t="s">
        <v>33</v>
      </c>
      <c r="H84" t="s">
        <v>143</v>
      </c>
      <c r="I84">
        <v>8.8000000000000007</v>
      </c>
      <c r="J84">
        <v>6.4</v>
      </c>
      <c r="K84">
        <v>7.7</v>
      </c>
      <c r="L84">
        <v>37</v>
      </c>
      <c r="M84">
        <v>177</v>
      </c>
      <c r="O84">
        <f t="shared" si="2"/>
        <v>354</v>
      </c>
      <c r="P84">
        <f t="shared" si="3"/>
        <v>4</v>
      </c>
    </row>
    <row r="85" spans="1:16" x14ac:dyDescent="0.25">
      <c r="A85">
        <v>2014</v>
      </c>
      <c r="B85" t="s">
        <v>329</v>
      </c>
      <c r="C85" t="s">
        <v>337</v>
      </c>
      <c r="D85" t="s">
        <v>59</v>
      </c>
      <c r="E85">
        <v>1.5</v>
      </c>
      <c r="F85">
        <v>4</v>
      </c>
      <c r="G85" t="s">
        <v>126</v>
      </c>
      <c r="H85" t="s">
        <v>143</v>
      </c>
      <c r="I85">
        <v>8.3000000000000007</v>
      </c>
      <c r="J85">
        <v>6.9</v>
      </c>
      <c r="K85">
        <v>7.7</v>
      </c>
      <c r="L85">
        <v>37</v>
      </c>
      <c r="M85">
        <v>177</v>
      </c>
      <c r="O85">
        <f t="shared" si="2"/>
        <v>265.5</v>
      </c>
      <c r="P85">
        <f t="shared" si="3"/>
        <v>2.25</v>
      </c>
    </row>
    <row r="86" spans="1:16" x14ac:dyDescent="0.25">
      <c r="A86">
        <v>2014</v>
      </c>
      <c r="B86" t="s">
        <v>342</v>
      </c>
      <c r="C86" t="s">
        <v>343</v>
      </c>
      <c r="D86" t="s">
        <v>15</v>
      </c>
      <c r="E86">
        <v>1.6</v>
      </c>
      <c r="F86">
        <v>4</v>
      </c>
      <c r="G86" t="s">
        <v>33</v>
      </c>
      <c r="H86" t="s">
        <v>143</v>
      </c>
      <c r="I86">
        <v>8.8000000000000007</v>
      </c>
      <c r="J86">
        <v>6.3</v>
      </c>
      <c r="K86">
        <v>7.7</v>
      </c>
      <c r="L86">
        <v>37</v>
      </c>
      <c r="M86">
        <v>177</v>
      </c>
      <c r="O86">
        <f t="shared" si="2"/>
        <v>283.2</v>
      </c>
      <c r="P86">
        <f t="shared" si="3"/>
        <v>2.5600000000000005</v>
      </c>
    </row>
    <row r="87" spans="1:16" x14ac:dyDescent="0.25">
      <c r="A87">
        <v>2014</v>
      </c>
      <c r="B87" t="s">
        <v>342</v>
      </c>
      <c r="C87" t="s">
        <v>343</v>
      </c>
      <c r="D87" t="s">
        <v>15</v>
      </c>
      <c r="E87">
        <v>1.6</v>
      </c>
      <c r="F87">
        <v>4</v>
      </c>
      <c r="G87" t="s">
        <v>18</v>
      </c>
      <c r="H87" t="s">
        <v>143</v>
      </c>
      <c r="I87">
        <v>8.6999999999999993</v>
      </c>
      <c r="J87">
        <v>6.4</v>
      </c>
      <c r="K87">
        <v>7.7</v>
      </c>
      <c r="L87">
        <v>37</v>
      </c>
      <c r="M87">
        <v>177</v>
      </c>
      <c r="O87">
        <f t="shared" si="2"/>
        <v>283.2</v>
      </c>
      <c r="P87">
        <f t="shared" si="3"/>
        <v>2.5600000000000005</v>
      </c>
    </row>
    <row r="88" spans="1:16" x14ac:dyDescent="0.25">
      <c r="A88">
        <v>2014</v>
      </c>
      <c r="B88" t="s">
        <v>342</v>
      </c>
      <c r="C88" t="s">
        <v>356</v>
      </c>
      <c r="D88" t="s">
        <v>15</v>
      </c>
      <c r="E88">
        <v>1.6</v>
      </c>
      <c r="F88">
        <v>4</v>
      </c>
      <c r="G88" t="s">
        <v>250</v>
      </c>
      <c r="H88" t="s">
        <v>143</v>
      </c>
      <c r="I88">
        <v>8.6</v>
      </c>
      <c r="J88">
        <v>6.6</v>
      </c>
      <c r="K88">
        <v>7.7</v>
      </c>
      <c r="L88">
        <v>37</v>
      </c>
      <c r="M88">
        <v>177</v>
      </c>
      <c r="O88">
        <f t="shared" si="2"/>
        <v>283.2</v>
      </c>
      <c r="P88">
        <f t="shared" si="3"/>
        <v>2.5600000000000005</v>
      </c>
    </row>
    <row r="89" spans="1:16" x14ac:dyDescent="0.25">
      <c r="A89">
        <v>2014</v>
      </c>
      <c r="B89" t="s">
        <v>414</v>
      </c>
      <c r="C89" t="s">
        <v>420</v>
      </c>
      <c r="D89" t="s">
        <v>15</v>
      </c>
      <c r="E89">
        <v>1.6</v>
      </c>
      <c r="F89">
        <v>4</v>
      </c>
      <c r="G89" t="s">
        <v>18</v>
      </c>
      <c r="H89" t="s">
        <v>143</v>
      </c>
      <c r="I89">
        <v>8.6999999999999993</v>
      </c>
      <c r="J89">
        <v>6.4</v>
      </c>
      <c r="K89">
        <v>7.7</v>
      </c>
      <c r="L89">
        <v>37</v>
      </c>
      <c r="M89">
        <v>177</v>
      </c>
      <c r="O89">
        <f t="shared" si="2"/>
        <v>283.2</v>
      </c>
      <c r="P89">
        <f t="shared" si="3"/>
        <v>2.5600000000000005</v>
      </c>
    </row>
    <row r="90" spans="1:16" x14ac:dyDescent="0.25">
      <c r="A90">
        <v>2014</v>
      </c>
      <c r="B90" t="s">
        <v>490</v>
      </c>
      <c r="C90" t="s">
        <v>495</v>
      </c>
      <c r="D90" t="s">
        <v>15</v>
      </c>
      <c r="E90">
        <v>1.5</v>
      </c>
      <c r="F90">
        <v>4</v>
      </c>
      <c r="G90" t="s">
        <v>42</v>
      </c>
      <c r="H90" t="s">
        <v>143</v>
      </c>
      <c r="I90">
        <v>8.4</v>
      </c>
      <c r="J90">
        <v>6.9</v>
      </c>
      <c r="K90">
        <v>7.7</v>
      </c>
      <c r="L90">
        <v>37</v>
      </c>
      <c r="M90">
        <v>177</v>
      </c>
      <c r="O90">
        <f t="shared" si="2"/>
        <v>265.5</v>
      </c>
      <c r="P90">
        <f t="shared" si="3"/>
        <v>2.25</v>
      </c>
    </row>
    <row r="91" spans="1:16" x14ac:dyDescent="0.25">
      <c r="A91">
        <v>2014</v>
      </c>
      <c r="B91" t="s">
        <v>490</v>
      </c>
      <c r="C91" t="s">
        <v>499</v>
      </c>
      <c r="D91" t="s">
        <v>26</v>
      </c>
      <c r="E91">
        <v>2.5</v>
      </c>
      <c r="F91">
        <v>4</v>
      </c>
      <c r="G91" t="s">
        <v>23</v>
      </c>
      <c r="H91" t="s">
        <v>143</v>
      </c>
      <c r="I91">
        <v>8.6999999999999993</v>
      </c>
      <c r="J91">
        <v>6.5</v>
      </c>
      <c r="K91">
        <v>7.7</v>
      </c>
      <c r="L91">
        <v>37</v>
      </c>
      <c r="M91">
        <v>177</v>
      </c>
      <c r="O91">
        <f t="shared" si="2"/>
        <v>442.5</v>
      </c>
      <c r="P91">
        <f t="shared" si="3"/>
        <v>6.25</v>
      </c>
    </row>
    <row r="92" spans="1:16" x14ac:dyDescent="0.25">
      <c r="A92">
        <v>2014</v>
      </c>
      <c r="B92" t="s">
        <v>593</v>
      </c>
      <c r="C92" t="s">
        <v>616</v>
      </c>
      <c r="D92" t="s">
        <v>15</v>
      </c>
      <c r="E92">
        <v>1.6</v>
      </c>
      <c r="F92">
        <v>4</v>
      </c>
      <c r="G92" t="s">
        <v>126</v>
      </c>
      <c r="H92" t="s">
        <v>143</v>
      </c>
      <c r="I92">
        <v>8.6</v>
      </c>
      <c r="J92">
        <v>6.5</v>
      </c>
      <c r="K92">
        <v>7.7</v>
      </c>
      <c r="L92">
        <v>37</v>
      </c>
      <c r="M92">
        <v>177</v>
      </c>
      <c r="O92">
        <f t="shared" si="2"/>
        <v>283.2</v>
      </c>
      <c r="P92">
        <f t="shared" si="3"/>
        <v>2.5600000000000005</v>
      </c>
    </row>
    <row r="93" spans="1:16" x14ac:dyDescent="0.25">
      <c r="A93">
        <v>2014</v>
      </c>
      <c r="B93" t="s">
        <v>681</v>
      </c>
      <c r="C93" t="s">
        <v>690</v>
      </c>
      <c r="D93" t="s">
        <v>22</v>
      </c>
      <c r="E93">
        <v>2</v>
      </c>
      <c r="F93">
        <v>4</v>
      </c>
      <c r="G93" t="s">
        <v>209</v>
      </c>
      <c r="H93" t="s">
        <v>143</v>
      </c>
      <c r="I93">
        <v>8.1</v>
      </c>
      <c r="J93">
        <v>7.2</v>
      </c>
      <c r="K93">
        <v>7.7</v>
      </c>
      <c r="L93">
        <v>37</v>
      </c>
      <c r="M93">
        <v>177</v>
      </c>
      <c r="O93">
        <f t="shared" si="2"/>
        <v>354</v>
      </c>
      <c r="P93">
        <f t="shared" si="3"/>
        <v>4</v>
      </c>
    </row>
    <row r="94" spans="1:16" x14ac:dyDescent="0.25">
      <c r="A94">
        <v>2014</v>
      </c>
      <c r="B94" t="s">
        <v>691</v>
      </c>
      <c r="C94" t="s">
        <v>698</v>
      </c>
      <c r="D94" t="s">
        <v>26</v>
      </c>
      <c r="E94">
        <v>1.8</v>
      </c>
      <c r="F94">
        <v>4</v>
      </c>
      <c r="G94" t="s">
        <v>42</v>
      </c>
      <c r="H94" t="s">
        <v>143</v>
      </c>
      <c r="I94">
        <v>8.6</v>
      </c>
      <c r="J94">
        <v>6.5</v>
      </c>
      <c r="K94">
        <v>7.7</v>
      </c>
      <c r="L94">
        <v>37</v>
      </c>
      <c r="M94">
        <v>177</v>
      </c>
      <c r="O94">
        <f t="shared" si="2"/>
        <v>318.60000000000002</v>
      </c>
      <c r="P94">
        <f t="shared" si="3"/>
        <v>3.24</v>
      </c>
    </row>
    <row r="95" spans="1:16" x14ac:dyDescent="0.25">
      <c r="A95">
        <v>2014</v>
      </c>
      <c r="B95" t="s">
        <v>175</v>
      </c>
      <c r="C95" t="s">
        <v>182</v>
      </c>
      <c r="D95" t="s">
        <v>26</v>
      </c>
      <c r="E95">
        <v>1.4</v>
      </c>
      <c r="F95">
        <v>4</v>
      </c>
      <c r="G95" t="s">
        <v>23</v>
      </c>
      <c r="H95" t="s">
        <v>143</v>
      </c>
      <c r="I95">
        <v>9.1</v>
      </c>
      <c r="J95">
        <v>6.3</v>
      </c>
      <c r="K95">
        <v>7.8</v>
      </c>
      <c r="L95">
        <v>36</v>
      </c>
      <c r="M95">
        <v>179</v>
      </c>
      <c r="O95">
        <f t="shared" si="2"/>
        <v>250.6</v>
      </c>
      <c r="P95">
        <f t="shared" si="3"/>
        <v>1.9599999999999997</v>
      </c>
    </row>
    <row r="96" spans="1:16" x14ac:dyDescent="0.25">
      <c r="A96">
        <v>2014</v>
      </c>
      <c r="B96" t="s">
        <v>175</v>
      </c>
      <c r="C96" t="s">
        <v>182</v>
      </c>
      <c r="D96" t="s">
        <v>26</v>
      </c>
      <c r="E96">
        <v>1.4</v>
      </c>
      <c r="F96">
        <v>4</v>
      </c>
      <c r="G96" t="s">
        <v>18</v>
      </c>
      <c r="H96" t="s">
        <v>143</v>
      </c>
      <c r="I96">
        <v>9.1</v>
      </c>
      <c r="J96">
        <v>6.3</v>
      </c>
      <c r="K96">
        <v>7.8</v>
      </c>
      <c r="L96">
        <v>36</v>
      </c>
      <c r="M96">
        <v>179</v>
      </c>
      <c r="O96">
        <f t="shared" si="2"/>
        <v>250.6</v>
      </c>
      <c r="P96">
        <f t="shared" si="3"/>
        <v>1.9599999999999997</v>
      </c>
    </row>
    <row r="97" spans="1:16" x14ac:dyDescent="0.25">
      <c r="A97">
        <v>2014</v>
      </c>
      <c r="B97" t="s">
        <v>257</v>
      </c>
      <c r="C97" t="s">
        <v>258</v>
      </c>
      <c r="D97" t="s">
        <v>32</v>
      </c>
      <c r="E97">
        <v>1.4</v>
      </c>
      <c r="F97">
        <v>4</v>
      </c>
      <c r="G97" t="s">
        <v>126</v>
      </c>
      <c r="H97" t="s">
        <v>143</v>
      </c>
      <c r="I97">
        <v>8.5</v>
      </c>
      <c r="J97">
        <v>6.9</v>
      </c>
      <c r="K97">
        <v>7.8</v>
      </c>
      <c r="L97">
        <v>36</v>
      </c>
      <c r="M97">
        <v>179</v>
      </c>
      <c r="O97">
        <f t="shared" si="2"/>
        <v>250.6</v>
      </c>
      <c r="P97">
        <f t="shared" si="3"/>
        <v>1.9599999999999997</v>
      </c>
    </row>
    <row r="98" spans="1:16" x14ac:dyDescent="0.25">
      <c r="A98">
        <v>2014</v>
      </c>
      <c r="B98" t="s">
        <v>257</v>
      </c>
      <c r="C98" t="s">
        <v>259</v>
      </c>
      <c r="D98" t="s">
        <v>32</v>
      </c>
      <c r="E98">
        <v>1.4</v>
      </c>
      <c r="F98">
        <v>4</v>
      </c>
      <c r="G98" t="s">
        <v>126</v>
      </c>
      <c r="H98" t="s">
        <v>143</v>
      </c>
      <c r="I98">
        <v>8.5</v>
      </c>
      <c r="J98">
        <v>6.9</v>
      </c>
      <c r="K98">
        <v>7.8</v>
      </c>
      <c r="L98">
        <v>36</v>
      </c>
      <c r="M98">
        <v>179</v>
      </c>
      <c r="O98">
        <f t="shared" si="2"/>
        <v>250.6</v>
      </c>
      <c r="P98">
        <f t="shared" si="3"/>
        <v>1.9599999999999997</v>
      </c>
    </row>
    <row r="99" spans="1:16" x14ac:dyDescent="0.25">
      <c r="A99">
        <v>2014</v>
      </c>
      <c r="B99" t="s">
        <v>257</v>
      </c>
      <c r="C99" t="s">
        <v>261</v>
      </c>
      <c r="D99" t="s">
        <v>32</v>
      </c>
      <c r="E99">
        <v>1.4</v>
      </c>
      <c r="F99">
        <v>4</v>
      </c>
      <c r="G99" t="s">
        <v>126</v>
      </c>
      <c r="H99" t="s">
        <v>143</v>
      </c>
      <c r="I99">
        <v>8.5</v>
      </c>
      <c r="J99">
        <v>6.9</v>
      </c>
      <c r="K99">
        <v>7.8</v>
      </c>
      <c r="L99">
        <v>36</v>
      </c>
      <c r="M99">
        <v>179</v>
      </c>
      <c r="O99">
        <f t="shared" si="2"/>
        <v>250.6</v>
      </c>
      <c r="P99">
        <f t="shared" si="3"/>
        <v>1.9599999999999997</v>
      </c>
    </row>
    <row r="100" spans="1:16" x14ac:dyDescent="0.25">
      <c r="A100">
        <v>2014</v>
      </c>
      <c r="B100" t="s">
        <v>257</v>
      </c>
      <c r="C100" t="s">
        <v>263</v>
      </c>
      <c r="D100" t="s">
        <v>32</v>
      </c>
      <c r="E100">
        <v>1.4</v>
      </c>
      <c r="F100">
        <v>4</v>
      </c>
      <c r="G100" t="s">
        <v>126</v>
      </c>
      <c r="H100" t="s">
        <v>143</v>
      </c>
      <c r="I100">
        <v>8.5</v>
      </c>
      <c r="J100">
        <v>6.9</v>
      </c>
      <c r="K100">
        <v>7.8</v>
      </c>
      <c r="L100">
        <v>36</v>
      </c>
      <c r="M100">
        <v>179</v>
      </c>
      <c r="O100">
        <f t="shared" si="2"/>
        <v>250.6</v>
      </c>
      <c r="P100">
        <f t="shared" si="3"/>
        <v>1.9599999999999997</v>
      </c>
    </row>
    <row r="101" spans="1:16" x14ac:dyDescent="0.25">
      <c r="A101">
        <v>2014</v>
      </c>
      <c r="B101" t="s">
        <v>265</v>
      </c>
      <c r="C101" t="s">
        <v>292</v>
      </c>
      <c r="D101" t="s">
        <v>15</v>
      </c>
      <c r="E101">
        <v>2</v>
      </c>
      <c r="F101">
        <v>4</v>
      </c>
      <c r="G101" t="s">
        <v>23</v>
      </c>
      <c r="H101" t="s">
        <v>143</v>
      </c>
      <c r="I101">
        <v>8.9</v>
      </c>
      <c r="J101">
        <v>6.4</v>
      </c>
      <c r="K101">
        <v>7.8</v>
      </c>
      <c r="L101">
        <v>36</v>
      </c>
      <c r="M101">
        <v>179</v>
      </c>
      <c r="O101">
        <f t="shared" si="2"/>
        <v>358</v>
      </c>
      <c r="P101">
        <f t="shared" si="3"/>
        <v>4</v>
      </c>
    </row>
    <row r="102" spans="1:16" x14ac:dyDescent="0.25">
      <c r="A102">
        <v>2014</v>
      </c>
      <c r="B102" t="s">
        <v>506</v>
      </c>
      <c r="C102" t="s">
        <v>519</v>
      </c>
      <c r="D102" t="s">
        <v>15</v>
      </c>
      <c r="E102">
        <v>2</v>
      </c>
      <c r="F102">
        <v>4</v>
      </c>
      <c r="G102" t="s">
        <v>360</v>
      </c>
      <c r="H102" t="s">
        <v>17</v>
      </c>
      <c r="I102">
        <v>9.1</v>
      </c>
      <c r="J102">
        <v>6.2</v>
      </c>
      <c r="K102">
        <v>7.8</v>
      </c>
      <c r="L102">
        <v>36</v>
      </c>
      <c r="M102">
        <v>179</v>
      </c>
      <c r="O102">
        <f t="shared" si="2"/>
        <v>358</v>
      </c>
      <c r="P102">
        <f t="shared" si="3"/>
        <v>4</v>
      </c>
    </row>
    <row r="103" spans="1:16" x14ac:dyDescent="0.25">
      <c r="A103">
        <v>2014</v>
      </c>
      <c r="B103" t="s">
        <v>563</v>
      </c>
      <c r="C103" t="s">
        <v>564</v>
      </c>
      <c r="D103" t="s">
        <v>35</v>
      </c>
      <c r="E103">
        <v>1.6</v>
      </c>
      <c r="F103">
        <v>4</v>
      </c>
      <c r="G103" t="s">
        <v>33</v>
      </c>
      <c r="H103" t="s">
        <v>17</v>
      </c>
      <c r="I103">
        <v>8.6999999999999993</v>
      </c>
      <c r="J103">
        <v>6.6</v>
      </c>
      <c r="K103">
        <v>7.8</v>
      </c>
      <c r="L103">
        <v>36</v>
      </c>
      <c r="M103">
        <v>179</v>
      </c>
      <c r="O103">
        <f t="shared" si="2"/>
        <v>286.40000000000003</v>
      </c>
      <c r="P103">
        <f t="shared" si="3"/>
        <v>2.5600000000000005</v>
      </c>
    </row>
    <row r="104" spans="1:16" x14ac:dyDescent="0.25">
      <c r="A104">
        <v>2014</v>
      </c>
      <c r="B104" t="s">
        <v>563</v>
      </c>
      <c r="C104" t="s">
        <v>564</v>
      </c>
      <c r="D104" t="s">
        <v>35</v>
      </c>
      <c r="E104">
        <v>1.6</v>
      </c>
      <c r="F104">
        <v>4</v>
      </c>
      <c r="G104" t="s">
        <v>18</v>
      </c>
      <c r="H104" t="s">
        <v>17</v>
      </c>
      <c r="I104">
        <v>8.6</v>
      </c>
      <c r="J104">
        <v>6.8</v>
      </c>
      <c r="K104">
        <v>7.8</v>
      </c>
      <c r="L104">
        <v>36</v>
      </c>
      <c r="M104">
        <v>179</v>
      </c>
      <c r="O104">
        <f t="shared" si="2"/>
        <v>286.40000000000003</v>
      </c>
      <c r="P104">
        <f t="shared" si="3"/>
        <v>2.5600000000000005</v>
      </c>
    </row>
    <row r="105" spans="1:16" x14ac:dyDescent="0.25">
      <c r="A105">
        <v>2014</v>
      </c>
      <c r="B105" t="s">
        <v>563</v>
      </c>
      <c r="C105" t="s">
        <v>565</v>
      </c>
      <c r="D105" t="s">
        <v>32</v>
      </c>
      <c r="E105">
        <v>1.6</v>
      </c>
      <c r="F105">
        <v>4</v>
      </c>
      <c r="G105" t="s">
        <v>33</v>
      </c>
      <c r="H105" t="s">
        <v>17</v>
      </c>
      <c r="I105">
        <v>8.6999999999999993</v>
      </c>
      <c r="J105">
        <v>6.6</v>
      </c>
      <c r="K105">
        <v>7.8</v>
      </c>
      <c r="L105">
        <v>36</v>
      </c>
      <c r="M105">
        <v>179</v>
      </c>
      <c r="O105">
        <f t="shared" si="2"/>
        <v>286.40000000000003</v>
      </c>
      <c r="P105">
        <f t="shared" si="3"/>
        <v>2.5600000000000005</v>
      </c>
    </row>
    <row r="106" spans="1:16" x14ac:dyDescent="0.25">
      <c r="A106">
        <v>2014</v>
      </c>
      <c r="B106" t="s">
        <v>563</v>
      </c>
      <c r="C106" t="s">
        <v>565</v>
      </c>
      <c r="D106" t="s">
        <v>32</v>
      </c>
      <c r="E106">
        <v>1.6</v>
      </c>
      <c r="F106">
        <v>4</v>
      </c>
      <c r="G106" t="s">
        <v>18</v>
      </c>
      <c r="H106" t="s">
        <v>17</v>
      </c>
      <c r="I106">
        <v>8.6</v>
      </c>
      <c r="J106">
        <v>6.8</v>
      </c>
      <c r="K106">
        <v>7.8</v>
      </c>
      <c r="L106">
        <v>36</v>
      </c>
      <c r="M106">
        <v>179</v>
      </c>
      <c r="O106">
        <f t="shared" si="2"/>
        <v>286.40000000000003</v>
      </c>
      <c r="P106">
        <f t="shared" si="3"/>
        <v>2.5600000000000005</v>
      </c>
    </row>
    <row r="107" spans="1:16" x14ac:dyDescent="0.25">
      <c r="A107">
        <v>2014</v>
      </c>
      <c r="B107" t="s">
        <v>563</v>
      </c>
      <c r="C107" t="s">
        <v>566</v>
      </c>
      <c r="D107" t="s">
        <v>15</v>
      </c>
      <c r="E107">
        <v>1.6</v>
      </c>
      <c r="F107">
        <v>4</v>
      </c>
      <c r="G107" t="s">
        <v>18</v>
      </c>
      <c r="H107" t="s">
        <v>17</v>
      </c>
      <c r="I107">
        <v>8.6</v>
      </c>
      <c r="J107">
        <v>6.8</v>
      </c>
      <c r="K107">
        <v>7.8</v>
      </c>
      <c r="L107">
        <v>36</v>
      </c>
      <c r="M107">
        <v>179</v>
      </c>
      <c r="O107">
        <f t="shared" si="2"/>
        <v>286.40000000000003</v>
      </c>
      <c r="P107">
        <f t="shared" si="3"/>
        <v>2.5600000000000005</v>
      </c>
    </row>
    <row r="108" spans="1:16" x14ac:dyDescent="0.25">
      <c r="A108">
        <v>2014</v>
      </c>
      <c r="B108" t="s">
        <v>563</v>
      </c>
      <c r="C108" t="s">
        <v>568</v>
      </c>
      <c r="D108" t="s">
        <v>15</v>
      </c>
      <c r="E108">
        <v>1.6</v>
      </c>
      <c r="F108">
        <v>4</v>
      </c>
      <c r="G108" t="s">
        <v>18</v>
      </c>
      <c r="H108" t="s">
        <v>17</v>
      </c>
      <c r="I108">
        <v>8.6</v>
      </c>
      <c r="J108">
        <v>6.8</v>
      </c>
      <c r="K108">
        <v>7.8</v>
      </c>
      <c r="L108">
        <v>36</v>
      </c>
      <c r="M108">
        <v>179</v>
      </c>
      <c r="O108">
        <f t="shared" si="2"/>
        <v>286.40000000000003</v>
      </c>
      <c r="P108">
        <f t="shared" si="3"/>
        <v>2.5600000000000005</v>
      </c>
    </row>
    <row r="109" spans="1:16" x14ac:dyDescent="0.25">
      <c r="A109">
        <v>2014</v>
      </c>
      <c r="B109" t="s">
        <v>563</v>
      </c>
      <c r="C109" t="s">
        <v>569</v>
      </c>
      <c r="D109" t="s">
        <v>37</v>
      </c>
      <c r="E109">
        <v>1.6</v>
      </c>
      <c r="F109">
        <v>4</v>
      </c>
      <c r="G109" t="s">
        <v>33</v>
      </c>
      <c r="H109" t="s">
        <v>17</v>
      </c>
      <c r="I109">
        <v>8.6999999999999993</v>
      </c>
      <c r="J109">
        <v>6.6</v>
      </c>
      <c r="K109">
        <v>7.8</v>
      </c>
      <c r="L109">
        <v>36</v>
      </c>
      <c r="M109">
        <v>179</v>
      </c>
      <c r="O109">
        <f t="shared" si="2"/>
        <v>286.40000000000003</v>
      </c>
      <c r="P109">
        <f t="shared" si="3"/>
        <v>2.5600000000000005</v>
      </c>
    </row>
    <row r="110" spans="1:16" x14ac:dyDescent="0.25">
      <c r="A110">
        <v>2014</v>
      </c>
      <c r="B110" t="s">
        <v>563</v>
      </c>
      <c r="C110" t="s">
        <v>569</v>
      </c>
      <c r="D110" t="s">
        <v>37</v>
      </c>
      <c r="E110">
        <v>1.6</v>
      </c>
      <c r="F110">
        <v>4</v>
      </c>
      <c r="G110" t="s">
        <v>18</v>
      </c>
      <c r="H110" t="s">
        <v>17</v>
      </c>
      <c r="I110">
        <v>8.6</v>
      </c>
      <c r="J110">
        <v>6.8</v>
      </c>
      <c r="K110">
        <v>7.8</v>
      </c>
      <c r="L110">
        <v>36</v>
      </c>
      <c r="M110">
        <v>179</v>
      </c>
      <c r="O110">
        <f t="shared" si="2"/>
        <v>286.40000000000003</v>
      </c>
      <c r="P110">
        <f t="shared" si="3"/>
        <v>2.5600000000000005</v>
      </c>
    </row>
    <row r="111" spans="1:16" x14ac:dyDescent="0.25">
      <c r="A111">
        <v>2014</v>
      </c>
      <c r="B111" t="s">
        <v>593</v>
      </c>
      <c r="C111" t="s">
        <v>613</v>
      </c>
      <c r="D111" t="s">
        <v>26</v>
      </c>
      <c r="E111">
        <v>1.8</v>
      </c>
      <c r="F111">
        <v>4</v>
      </c>
      <c r="G111" t="s">
        <v>18</v>
      </c>
      <c r="H111" t="s">
        <v>143</v>
      </c>
      <c r="I111">
        <v>8.6999999999999993</v>
      </c>
      <c r="J111">
        <v>6.6</v>
      </c>
      <c r="K111">
        <v>7.8</v>
      </c>
      <c r="L111">
        <v>36</v>
      </c>
      <c r="M111">
        <v>179</v>
      </c>
      <c r="O111">
        <f t="shared" si="2"/>
        <v>322.2</v>
      </c>
      <c r="P111">
        <f t="shared" si="3"/>
        <v>3.24</v>
      </c>
    </row>
    <row r="112" spans="1:16" x14ac:dyDescent="0.25">
      <c r="A112">
        <v>2014</v>
      </c>
      <c r="B112" t="s">
        <v>681</v>
      </c>
      <c r="C112" t="s">
        <v>684</v>
      </c>
      <c r="D112" t="s">
        <v>15</v>
      </c>
      <c r="E112">
        <v>2</v>
      </c>
      <c r="F112">
        <v>4</v>
      </c>
      <c r="G112" t="s">
        <v>209</v>
      </c>
      <c r="H112" t="s">
        <v>143</v>
      </c>
      <c r="I112">
        <v>8.6999999999999993</v>
      </c>
      <c r="J112">
        <v>6.6</v>
      </c>
      <c r="K112">
        <v>7.8</v>
      </c>
      <c r="L112">
        <v>36</v>
      </c>
      <c r="M112">
        <v>179</v>
      </c>
      <c r="O112">
        <f t="shared" si="2"/>
        <v>358</v>
      </c>
      <c r="P112">
        <f t="shared" si="3"/>
        <v>4</v>
      </c>
    </row>
    <row r="113" spans="1:16" x14ac:dyDescent="0.25">
      <c r="A113">
        <v>2014</v>
      </c>
      <c r="B113" t="s">
        <v>681</v>
      </c>
      <c r="C113" t="s">
        <v>685</v>
      </c>
      <c r="D113" t="s">
        <v>59</v>
      </c>
      <c r="E113">
        <v>2</v>
      </c>
      <c r="F113">
        <v>4</v>
      </c>
      <c r="G113" t="s">
        <v>209</v>
      </c>
      <c r="H113" t="s">
        <v>143</v>
      </c>
      <c r="I113">
        <v>8.6999999999999993</v>
      </c>
      <c r="J113">
        <v>6.6</v>
      </c>
      <c r="K113">
        <v>7.8</v>
      </c>
      <c r="L113">
        <v>36</v>
      </c>
      <c r="M113">
        <v>179</v>
      </c>
      <c r="O113">
        <f t="shared" si="2"/>
        <v>358</v>
      </c>
      <c r="P113">
        <f t="shared" si="3"/>
        <v>4</v>
      </c>
    </row>
    <row r="114" spans="1:16" x14ac:dyDescent="0.25">
      <c r="A114">
        <v>2014</v>
      </c>
      <c r="B114" t="s">
        <v>90</v>
      </c>
      <c r="C114" t="s">
        <v>108</v>
      </c>
      <c r="D114" t="s">
        <v>26</v>
      </c>
      <c r="E114">
        <v>3</v>
      </c>
      <c r="F114">
        <v>6</v>
      </c>
      <c r="G114" t="s">
        <v>53</v>
      </c>
      <c r="H114" t="s">
        <v>50</v>
      </c>
      <c r="I114">
        <v>9.1999999999999993</v>
      </c>
      <c r="J114">
        <v>6.4</v>
      </c>
      <c r="K114">
        <v>7.9</v>
      </c>
      <c r="L114">
        <v>36</v>
      </c>
      <c r="M114">
        <v>213</v>
      </c>
      <c r="O114">
        <f t="shared" si="2"/>
        <v>639</v>
      </c>
      <c r="P114">
        <f t="shared" si="3"/>
        <v>9</v>
      </c>
    </row>
    <row r="115" spans="1:16" x14ac:dyDescent="0.25">
      <c r="A115">
        <v>2014</v>
      </c>
      <c r="B115" t="s">
        <v>175</v>
      </c>
      <c r="C115" t="s">
        <v>204</v>
      </c>
      <c r="D115" t="s">
        <v>15</v>
      </c>
      <c r="E115">
        <v>1.8</v>
      </c>
      <c r="F115">
        <v>4</v>
      </c>
      <c r="G115" t="s">
        <v>126</v>
      </c>
      <c r="H115" t="s">
        <v>143</v>
      </c>
      <c r="I115">
        <v>8.9</v>
      </c>
      <c r="J115">
        <v>6.7</v>
      </c>
      <c r="K115">
        <v>7.9</v>
      </c>
      <c r="L115">
        <v>36</v>
      </c>
      <c r="M115">
        <v>182</v>
      </c>
      <c r="O115">
        <f t="shared" si="2"/>
        <v>327.60000000000002</v>
      </c>
      <c r="P115">
        <f t="shared" si="3"/>
        <v>3.24</v>
      </c>
    </row>
    <row r="116" spans="1:16" x14ac:dyDescent="0.25">
      <c r="A116">
        <v>2014</v>
      </c>
      <c r="B116" t="s">
        <v>175</v>
      </c>
      <c r="C116" t="s">
        <v>205</v>
      </c>
      <c r="D116" t="s">
        <v>26</v>
      </c>
      <c r="E116">
        <v>1.8</v>
      </c>
      <c r="F116">
        <v>4</v>
      </c>
      <c r="G116" t="s">
        <v>126</v>
      </c>
      <c r="H116" t="s">
        <v>143</v>
      </c>
      <c r="I116">
        <v>8.9</v>
      </c>
      <c r="J116">
        <v>6.7</v>
      </c>
      <c r="K116">
        <v>7.9</v>
      </c>
      <c r="L116">
        <v>36</v>
      </c>
      <c r="M116">
        <v>182</v>
      </c>
      <c r="O116">
        <f t="shared" si="2"/>
        <v>327.60000000000002</v>
      </c>
      <c r="P116">
        <f t="shared" si="3"/>
        <v>3.24</v>
      </c>
    </row>
    <row r="117" spans="1:16" x14ac:dyDescent="0.25">
      <c r="A117">
        <v>2014</v>
      </c>
      <c r="B117" t="s">
        <v>175</v>
      </c>
      <c r="C117" t="s">
        <v>206</v>
      </c>
      <c r="D117" t="s">
        <v>26</v>
      </c>
      <c r="E117">
        <v>1.4</v>
      </c>
      <c r="F117">
        <v>4</v>
      </c>
      <c r="G117" t="s">
        <v>18</v>
      </c>
      <c r="H117" t="s">
        <v>143</v>
      </c>
      <c r="I117">
        <v>8.6999999999999993</v>
      </c>
      <c r="J117">
        <v>7</v>
      </c>
      <c r="K117">
        <v>7.9</v>
      </c>
      <c r="L117">
        <v>36</v>
      </c>
      <c r="M117">
        <v>182</v>
      </c>
      <c r="O117">
        <f t="shared" si="2"/>
        <v>254.79999999999998</v>
      </c>
      <c r="P117">
        <f t="shared" si="3"/>
        <v>1.9599999999999997</v>
      </c>
    </row>
    <row r="118" spans="1:16" x14ac:dyDescent="0.25">
      <c r="A118">
        <v>2014</v>
      </c>
      <c r="B118" t="s">
        <v>175</v>
      </c>
      <c r="C118" t="s">
        <v>207</v>
      </c>
      <c r="D118" t="s">
        <v>15</v>
      </c>
      <c r="E118">
        <v>1.4</v>
      </c>
      <c r="F118">
        <v>4</v>
      </c>
      <c r="G118" t="s">
        <v>18</v>
      </c>
      <c r="H118" t="s">
        <v>143</v>
      </c>
      <c r="I118">
        <v>8.6999999999999993</v>
      </c>
      <c r="J118">
        <v>7</v>
      </c>
      <c r="K118">
        <v>7.9</v>
      </c>
      <c r="L118">
        <v>36</v>
      </c>
      <c r="M118">
        <v>182</v>
      </c>
      <c r="O118">
        <f t="shared" si="2"/>
        <v>254.79999999999998</v>
      </c>
      <c r="P118">
        <f t="shared" si="3"/>
        <v>1.9599999999999997</v>
      </c>
    </row>
    <row r="119" spans="1:16" x14ac:dyDescent="0.25">
      <c r="A119">
        <v>2014</v>
      </c>
      <c r="B119" t="s">
        <v>257</v>
      </c>
      <c r="C119" t="s">
        <v>260</v>
      </c>
      <c r="D119" t="s">
        <v>32</v>
      </c>
      <c r="E119">
        <v>1.4</v>
      </c>
      <c r="F119">
        <v>4</v>
      </c>
      <c r="G119" t="s">
        <v>33</v>
      </c>
      <c r="H119" t="s">
        <v>143</v>
      </c>
      <c r="I119">
        <v>8.6999999999999993</v>
      </c>
      <c r="J119">
        <v>6.9</v>
      </c>
      <c r="K119">
        <v>7.9</v>
      </c>
      <c r="L119">
        <v>36</v>
      </c>
      <c r="M119">
        <v>182</v>
      </c>
      <c r="O119">
        <f t="shared" si="2"/>
        <v>254.79999999999998</v>
      </c>
      <c r="P119">
        <f t="shared" si="3"/>
        <v>1.9599999999999997</v>
      </c>
    </row>
    <row r="120" spans="1:16" x14ac:dyDescent="0.25">
      <c r="A120">
        <v>2014</v>
      </c>
      <c r="B120" t="s">
        <v>257</v>
      </c>
      <c r="C120" t="s">
        <v>262</v>
      </c>
      <c r="D120" t="s">
        <v>32</v>
      </c>
      <c r="E120">
        <v>1.4</v>
      </c>
      <c r="F120">
        <v>4</v>
      </c>
      <c r="G120" t="s">
        <v>33</v>
      </c>
      <c r="H120" t="s">
        <v>143</v>
      </c>
      <c r="I120">
        <v>8.6999999999999993</v>
      </c>
      <c r="J120">
        <v>6.9</v>
      </c>
      <c r="K120">
        <v>7.9</v>
      </c>
      <c r="L120">
        <v>36</v>
      </c>
      <c r="M120">
        <v>182</v>
      </c>
      <c r="O120">
        <f t="shared" si="2"/>
        <v>254.79999999999998</v>
      </c>
      <c r="P120">
        <f t="shared" si="3"/>
        <v>1.9599999999999997</v>
      </c>
    </row>
    <row r="121" spans="1:16" x14ac:dyDescent="0.25">
      <c r="A121">
        <v>2014</v>
      </c>
      <c r="B121" t="s">
        <v>329</v>
      </c>
      <c r="C121" t="s">
        <v>330</v>
      </c>
      <c r="D121" t="s">
        <v>26</v>
      </c>
      <c r="E121">
        <v>2.4</v>
      </c>
      <c r="F121">
        <v>4</v>
      </c>
      <c r="G121" t="s">
        <v>209</v>
      </c>
      <c r="H121" t="s">
        <v>143</v>
      </c>
      <c r="I121">
        <v>9</v>
      </c>
      <c r="J121">
        <v>6.6</v>
      </c>
      <c r="K121">
        <v>7.9</v>
      </c>
      <c r="L121">
        <v>36</v>
      </c>
      <c r="M121">
        <v>182</v>
      </c>
      <c r="O121">
        <f t="shared" si="2"/>
        <v>436.8</v>
      </c>
      <c r="P121">
        <f t="shared" si="3"/>
        <v>5.76</v>
      </c>
    </row>
    <row r="122" spans="1:16" x14ac:dyDescent="0.25">
      <c r="A122">
        <v>2014</v>
      </c>
      <c r="B122" t="s">
        <v>667</v>
      </c>
      <c r="C122" t="s">
        <v>673</v>
      </c>
      <c r="D122" t="s">
        <v>35</v>
      </c>
      <c r="E122">
        <v>1.8</v>
      </c>
      <c r="F122">
        <v>4</v>
      </c>
      <c r="G122" t="s">
        <v>126</v>
      </c>
      <c r="H122" t="s">
        <v>143</v>
      </c>
      <c r="I122">
        <v>8.6</v>
      </c>
      <c r="J122">
        <v>7.1</v>
      </c>
      <c r="K122">
        <v>7.9</v>
      </c>
      <c r="L122">
        <v>36</v>
      </c>
      <c r="M122">
        <v>182</v>
      </c>
      <c r="O122">
        <f t="shared" si="2"/>
        <v>327.60000000000002</v>
      </c>
      <c r="P122">
        <f t="shared" si="3"/>
        <v>3.24</v>
      </c>
    </row>
    <row r="123" spans="1:16" x14ac:dyDescent="0.25">
      <c r="A123">
        <v>2014</v>
      </c>
      <c r="B123" t="s">
        <v>175</v>
      </c>
      <c r="C123" t="s">
        <v>199</v>
      </c>
      <c r="D123" t="s">
        <v>26</v>
      </c>
      <c r="E123">
        <v>2.5</v>
      </c>
      <c r="F123">
        <v>4</v>
      </c>
      <c r="G123" t="s">
        <v>23</v>
      </c>
      <c r="H123" t="s">
        <v>143</v>
      </c>
      <c r="I123">
        <v>9.3000000000000007</v>
      </c>
      <c r="J123">
        <v>6.4</v>
      </c>
      <c r="K123">
        <v>8</v>
      </c>
      <c r="L123">
        <v>35</v>
      </c>
      <c r="M123">
        <v>184</v>
      </c>
      <c r="O123">
        <f t="shared" si="2"/>
        <v>460</v>
      </c>
      <c r="P123">
        <f t="shared" si="3"/>
        <v>6.25</v>
      </c>
    </row>
    <row r="124" spans="1:16" x14ac:dyDescent="0.25">
      <c r="A124">
        <v>2014</v>
      </c>
      <c r="B124" t="s">
        <v>175</v>
      </c>
      <c r="C124" t="s">
        <v>204</v>
      </c>
      <c r="D124" t="s">
        <v>15</v>
      </c>
      <c r="E124">
        <v>1.4</v>
      </c>
      <c r="F124">
        <v>4</v>
      </c>
      <c r="G124" t="s">
        <v>23</v>
      </c>
      <c r="H124" t="s">
        <v>143</v>
      </c>
      <c r="I124">
        <v>9.1</v>
      </c>
      <c r="J124">
        <v>6.7</v>
      </c>
      <c r="K124">
        <v>8</v>
      </c>
      <c r="L124">
        <v>35</v>
      </c>
      <c r="M124">
        <v>184</v>
      </c>
      <c r="O124">
        <f t="shared" si="2"/>
        <v>257.59999999999997</v>
      </c>
      <c r="P124">
        <f t="shared" si="3"/>
        <v>1.9599999999999997</v>
      </c>
    </row>
    <row r="125" spans="1:16" x14ac:dyDescent="0.25">
      <c r="A125">
        <v>2014</v>
      </c>
      <c r="B125" t="s">
        <v>175</v>
      </c>
      <c r="C125" t="s">
        <v>205</v>
      </c>
      <c r="D125" t="s">
        <v>26</v>
      </c>
      <c r="E125">
        <v>1.4</v>
      </c>
      <c r="F125">
        <v>4</v>
      </c>
      <c r="G125" t="s">
        <v>23</v>
      </c>
      <c r="H125" t="s">
        <v>143</v>
      </c>
      <c r="I125">
        <v>9.1</v>
      </c>
      <c r="J125">
        <v>6.7</v>
      </c>
      <c r="K125">
        <v>8</v>
      </c>
      <c r="L125">
        <v>35</v>
      </c>
      <c r="M125">
        <v>184</v>
      </c>
      <c r="O125">
        <f t="shared" si="2"/>
        <v>257.59999999999997</v>
      </c>
      <c r="P125">
        <f t="shared" si="3"/>
        <v>1.9599999999999997</v>
      </c>
    </row>
    <row r="126" spans="1:16" x14ac:dyDescent="0.25">
      <c r="A126">
        <v>2014</v>
      </c>
      <c r="B126" t="s">
        <v>265</v>
      </c>
      <c r="C126" t="s">
        <v>287</v>
      </c>
      <c r="D126" t="s">
        <v>15</v>
      </c>
      <c r="E126">
        <v>1.6</v>
      </c>
      <c r="F126">
        <v>4</v>
      </c>
      <c r="G126" t="s">
        <v>18</v>
      </c>
      <c r="H126" t="s">
        <v>143</v>
      </c>
      <c r="I126">
        <v>8.9</v>
      </c>
      <c r="J126">
        <v>6.8</v>
      </c>
      <c r="K126">
        <v>8</v>
      </c>
      <c r="L126">
        <v>35</v>
      </c>
      <c r="M126">
        <v>184</v>
      </c>
      <c r="O126">
        <f t="shared" si="2"/>
        <v>294.40000000000003</v>
      </c>
      <c r="P126">
        <f t="shared" si="3"/>
        <v>2.5600000000000005</v>
      </c>
    </row>
    <row r="127" spans="1:16" x14ac:dyDescent="0.25">
      <c r="A127">
        <v>2014</v>
      </c>
      <c r="B127" t="s">
        <v>265</v>
      </c>
      <c r="C127" t="s">
        <v>292</v>
      </c>
      <c r="D127" t="s">
        <v>15</v>
      </c>
      <c r="E127">
        <v>2</v>
      </c>
      <c r="F127">
        <v>4</v>
      </c>
      <c r="G127" t="s">
        <v>126</v>
      </c>
      <c r="H127" t="s">
        <v>143</v>
      </c>
      <c r="I127">
        <v>9.1</v>
      </c>
      <c r="J127">
        <v>6.6</v>
      </c>
      <c r="K127">
        <v>8</v>
      </c>
      <c r="L127">
        <v>35</v>
      </c>
      <c r="M127">
        <v>184</v>
      </c>
      <c r="O127">
        <f t="shared" si="2"/>
        <v>368</v>
      </c>
      <c r="P127">
        <f t="shared" si="3"/>
        <v>4</v>
      </c>
    </row>
    <row r="128" spans="1:16" x14ac:dyDescent="0.25">
      <c r="A128">
        <v>2014</v>
      </c>
      <c r="B128" t="s">
        <v>342</v>
      </c>
      <c r="C128" t="s">
        <v>356</v>
      </c>
      <c r="D128" t="s">
        <v>15</v>
      </c>
      <c r="E128">
        <v>1.6</v>
      </c>
      <c r="F128">
        <v>4</v>
      </c>
      <c r="G128" t="s">
        <v>18</v>
      </c>
      <c r="H128" t="s">
        <v>143</v>
      </c>
      <c r="I128">
        <v>9.1</v>
      </c>
      <c r="J128">
        <v>6.7</v>
      </c>
      <c r="K128">
        <v>8</v>
      </c>
      <c r="L128">
        <v>35</v>
      </c>
      <c r="M128">
        <v>184</v>
      </c>
      <c r="O128">
        <f t="shared" si="2"/>
        <v>294.40000000000003</v>
      </c>
      <c r="P128">
        <f t="shared" si="3"/>
        <v>2.5600000000000005</v>
      </c>
    </row>
    <row r="129" spans="1:16" x14ac:dyDescent="0.25">
      <c r="A129">
        <v>2014</v>
      </c>
      <c r="B129" t="s">
        <v>414</v>
      </c>
      <c r="C129" t="s">
        <v>416</v>
      </c>
      <c r="D129" t="s">
        <v>26</v>
      </c>
      <c r="E129">
        <v>1.8</v>
      </c>
      <c r="F129">
        <v>4</v>
      </c>
      <c r="G129" t="s">
        <v>18</v>
      </c>
      <c r="H129" t="s">
        <v>143</v>
      </c>
      <c r="I129">
        <v>9.3000000000000007</v>
      </c>
      <c r="J129">
        <v>6.4</v>
      </c>
      <c r="K129">
        <v>8</v>
      </c>
      <c r="L129">
        <v>35</v>
      </c>
      <c r="M129">
        <v>184</v>
      </c>
      <c r="O129">
        <f t="shared" si="2"/>
        <v>331.2</v>
      </c>
      <c r="P129">
        <f t="shared" si="3"/>
        <v>3.24</v>
      </c>
    </row>
    <row r="130" spans="1:16" x14ac:dyDescent="0.25">
      <c r="A130">
        <v>2014</v>
      </c>
      <c r="B130" t="s">
        <v>490</v>
      </c>
      <c r="C130" t="s">
        <v>491</v>
      </c>
      <c r="D130" t="s">
        <v>22</v>
      </c>
      <c r="E130">
        <v>2</v>
      </c>
      <c r="F130">
        <v>4</v>
      </c>
      <c r="G130" t="s">
        <v>18</v>
      </c>
      <c r="H130" t="s">
        <v>143</v>
      </c>
      <c r="I130">
        <v>9</v>
      </c>
      <c r="J130">
        <v>6.8</v>
      </c>
      <c r="K130">
        <v>8</v>
      </c>
      <c r="L130">
        <v>35</v>
      </c>
      <c r="M130">
        <v>184</v>
      </c>
      <c r="O130">
        <f t="shared" si="2"/>
        <v>368</v>
      </c>
      <c r="P130">
        <f t="shared" si="3"/>
        <v>4</v>
      </c>
    </row>
    <row r="131" spans="1:16" x14ac:dyDescent="0.25">
      <c r="A131">
        <v>2014</v>
      </c>
      <c r="B131" t="s">
        <v>506</v>
      </c>
      <c r="C131" t="s">
        <v>507</v>
      </c>
      <c r="D131" t="s">
        <v>59</v>
      </c>
      <c r="E131">
        <v>2</v>
      </c>
      <c r="F131">
        <v>4</v>
      </c>
      <c r="G131" t="s">
        <v>360</v>
      </c>
      <c r="H131" t="s">
        <v>17</v>
      </c>
      <c r="I131">
        <v>9.1999999999999993</v>
      </c>
      <c r="J131">
        <v>6.6</v>
      </c>
      <c r="K131">
        <v>8</v>
      </c>
      <c r="L131">
        <v>35</v>
      </c>
      <c r="M131">
        <v>184</v>
      </c>
      <c r="O131">
        <f t="shared" ref="O131:O194" si="4">M131*E131</f>
        <v>368</v>
      </c>
      <c r="P131">
        <f t="shared" ref="P131:P194" si="5">E131*E131</f>
        <v>4</v>
      </c>
    </row>
    <row r="132" spans="1:16" x14ac:dyDescent="0.25">
      <c r="A132">
        <v>2014</v>
      </c>
      <c r="B132" t="s">
        <v>563</v>
      </c>
      <c r="C132" t="s">
        <v>570</v>
      </c>
      <c r="D132" t="s">
        <v>35</v>
      </c>
      <c r="E132">
        <v>1.6</v>
      </c>
      <c r="F132">
        <v>4</v>
      </c>
      <c r="G132" t="s">
        <v>18</v>
      </c>
      <c r="H132" t="s">
        <v>17</v>
      </c>
      <c r="I132">
        <v>9.1</v>
      </c>
      <c r="J132">
        <v>6.7</v>
      </c>
      <c r="K132">
        <v>8</v>
      </c>
      <c r="L132">
        <v>35</v>
      </c>
      <c r="M132">
        <v>184</v>
      </c>
      <c r="O132">
        <f t="shared" si="4"/>
        <v>294.40000000000003</v>
      </c>
      <c r="P132">
        <f t="shared" si="5"/>
        <v>2.5600000000000005</v>
      </c>
    </row>
    <row r="133" spans="1:16" x14ac:dyDescent="0.25">
      <c r="A133">
        <v>2014</v>
      </c>
      <c r="B133" t="s">
        <v>563</v>
      </c>
      <c r="C133" t="s">
        <v>571</v>
      </c>
      <c r="D133" t="s">
        <v>32</v>
      </c>
      <c r="E133">
        <v>1.6</v>
      </c>
      <c r="F133">
        <v>4</v>
      </c>
      <c r="G133" t="s">
        <v>18</v>
      </c>
      <c r="H133" t="s">
        <v>17</v>
      </c>
      <c r="I133">
        <v>9.1</v>
      </c>
      <c r="J133">
        <v>6.7</v>
      </c>
      <c r="K133">
        <v>8</v>
      </c>
      <c r="L133">
        <v>35</v>
      </c>
      <c r="M133">
        <v>184</v>
      </c>
      <c r="O133">
        <f t="shared" si="4"/>
        <v>294.40000000000003</v>
      </c>
      <c r="P133">
        <f t="shared" si="5"/>
        <v>2.5600000000000005</v>
      </c>
    </row>
    <row r="134" spans="1:16" x14ac:dyDescent="0.25">
      <c r="A134">
        <v>2014</v>
      </c>
      <c r="B134" t="s">
        <v>563</v>
      </c>
      <c r="C134" t="s">
        <v>573</v>
      </c>
      <c r="D134" t="s">
        <v>37</v>
      </c>
      <c r="E134">
        <v>1.6</v>
      </c>
      <c r="F134">
        <v>4</v>
      </c>
      <c r="G134" t="s">
        <v>18</v>
      </c>
      <c r="H134" t="s">
        <v>17</v>
      </c>
      <c r="I134">
        <v>9.1</v>
      </c>
      <c r="J134">
        <v>6.7</v>
      </c>
      <c r="K134">
        <v>8</v>
      </c>
      <c r="L134">
        <v>35</v>
      </c>
      <c r="M134">
        <v>184</v>
      </c>
      <c r="O134">
        <f t="shared" si="4"/>
        <v>294.40000000000003</v>
      </c>
      <c r="P134">
        <f t="shared" si="5"/>
        <v>2.5600000000000005</v>
      </c>
    </row>
    <row r="135" spans="1:16" x14ac:dyDescent="0.25">
      <c r="A135">
        <v>2014</v>
      </c>
      <c r="B135" t="s">
        <v>563</v>
      </c>
      <c r="C135" t="s">
        <v>575</v>
      </c>
      <c r="D135" t="s">
        <v>37</v>
      </c>
      <c r="E135">
        <v>1.6</v>
      </c>
      <c r="F135">
        <v>4</v>
      </c>
      <c r="G135" t="s">
        <v>18</v>
      </c>
      <c r="H135" t="s">
        <v>17</v>
      </c>
      <c r="I135">
        <v>9.1</v>
      </c>
      <c r="J135">
        <v>6.7</v>
      </c>
      <c r="K135">
        <v>8</v>
      </c>
      <c r="L135">
        <v>35</v>
      </c>
      <c r="M135">
        <v>184</v>
      </c>
      <c r="O135">
        <f t="shared" si="4"/>
        <v>294.40000000000003</v>
      </c>
      <c r="P135">
        <f t="shared" si="5"/>
        <v>2.5600000000000005</v>
      </c>
    </row>
    <row r="136" spans="1:16" x14ac:dyDescent="0.25">
      <c r="A136">
        <v>2014</v>
      </c>
      <c r="B136" t="s">
        <v>563</v>
      </c>
      <c r="C136" t="s">
        <v>576</v>
      </c>
      <c r="D136" t="s">
        <v>35</v>
      </c>
      <c r="E136">
        <v>1.6</v>
      </c>
      <c r="F136">
        <v>4</v>
      </c>
      <c r="G136" t="s">
        <v>18</v>
      </c>
      <c r="H136" t="s">
        <v>17</v>
      </c>
      <c r="I136">
        <v>9.1</v>
      </c>
      <c r="J136">
        <v>6.7</v>
      </c>
      <c r="K136">
        <v>8</v>
      </c>
      <c r="L136">
        <v>35</v>
      </c>
      <c r="M136">
        <v>184</v>
      </c>
      <c r="O136">
        <f t="shared" si="4"/>
        <v>294.40000000000003</v>
      </c>
      <c r="P136">
        <f t="shared" si="5"/>
        <v>2.5600000000000005</v>
      </c>
    </row>
    <row r="137" spans="1:16" x14ac:dyDescent="0.25">
      <c r="A137">
        <v>2014</v>
      </c>
      <c r="B137" t="s">
        <v>563</v>
      </c>
      <c r="C137" t="s">
        <v>577</v>
      </c>
      <c r="D137" t="s">
        <v>32</v>
      </c>
      <c r="E137">
        <v>1.6</v>
      </c>
      <c r="F137">
        <v>4</v>
      </c>
      <c r="G137" t="s">
        <v>18</v>
      </c>
      <c r="H137" t="s">
        <v>17</v>
      </c>
      <c r="I137">
        <v>9.1</v>
      </c>
      <c r="J137">
        <v>6.7</v>
      </c>
      <c r="K137">
        <v>8</v>
      </c>
      <c r="L137">
        <v>35</v>
      </c>
      <c r="M137">
        <v>184</v>
      </c>
      <c r="O137">
        <f t="shared" si="4"/>
        <v>294.40000000000003</v>
      </c>
      <c r="P137">
        <f t="shared" si="5"/>
        <v>2.5600000000000005</v>
      </c>
    </row>
    <row r="138" spans="1:16" x14ac:dyDescent="0.25">
      <c r="A138">
        <v>2014</v>
      </c>
      <c r="B138" t="s">
        <v>563</v>
      </c>
      <c r="C138" t="s">
        <v>579</v>
      </c>
      <c r="D138" t="s">
        <v>37</v>
      </c>
      <c r="E138">
        <v>1.6</v>
      </c>
      <c r="F138">
        <v>4</v>
      </c>
      <c r="G138" t="s">
        <v>18</v>
      </c>
      <c r="H138" t="s">
        <v>17</v>
      </c>
      <c r="I138">
        <v>9.1</v>
      </c>
      <c r="J138">
        <v>6.7</v>
      </c>
      <c r="K138">
        <v>8</v>
      </c>
      <c r="L138">
        <v>35</v>
      </c>
      <c r="M138">
        <v>184</v>
      </c>
      <c r="O138">
        <f t="shared" si="4"/>
        <v>294.40000000000003</v>
      </c>
      <c r="P138">
        <f t="shared" si="5"/>
        <v>2.5600000000000005</v>
      </c>
    </row>
    <row r="139" spans="1:16" x14ac:dyDescent="0.25">
      <c r="A139">
        <v>2014</v>
      </c>
      <c r="B139" t="s">
        <v>563</v>
      </c>
      <c r="C139" t="s">
        <v>581</v>
      </c>
      <c r="D139" t="s">
        <v>37</v>
      </c>
      <c r="E139">
        <v>1.6</v>
      </c>
      <c r="F139">
        <v>4</v>
      </c>
      <c r="G139" t="s">
        <v>18</v>
      </c>
      <c r="H139" t="s">
        <v>17</v>
      </c>
      <c r="I139">
        <v>9.1</v>
      </c>
      <c r="J139">
        <v>6.7</v>
      </c>
      <c r="K139">
        <v>8</v>
      </c>
      <c r="L139">
        <v>35</v>
      </c>
      <c r="M139">
        <v>184</v>
      </c>
      <c r="O139">
        <f t="shared" si="4"/>
        <v>294.40000000000003</v>
      </c>
      <c r="P139">
        <f t="shared" si="5"/>
        <v>2.5600000000000005</v>
      </c>
    </row>
    <row r="140" spans="1:16" x14ac:dyDescent="0.25">
      <c r="A140">
        <v>2014</v>
      </c>
      <c r="B140" t="s">
        <v>667</v>
      </c>
      <c r="C140" t="s">
        <v>673</v>
      </c>
      <c r="D140" t="s">
        <v>35</v>
      </c>
      <c r="E140">
        <v>1.8</v>
      </c>
      <c r="F140">
        <v>4</v>
      </c>
      <c r="G140" t="s">
        <v>42</v>
      </c>
      <c r="H140" t="s">
        <v>143</v>
      </c>
      <c r="I140">
        <v>8.8000000000000007</v>
      </c>
      <c r="J140">
        <v>7.1</v>
      </c>
      <c r="K140">
        <v>8</v>
      </c>
      <c r="L140">
        <v>35</v>
      </c>
      <c r="M140">
        <v>184</v>
      </c>
      <c r="O140">
        <f t="shared" si="4"/>
        <v>331.2</v>
      </c>
      <c r="P140">
        <f t="shared" si="5"/>
        <v>3.24</v>
      </c>
    </row>
    <row r="141" spans="1:16" x14ac:dyDescent="0.25">
      <c r="A141">
        <v>2014</v>
      </c>
      <c r="B141" t="s">
        <v>175</v>
      </c>
      <c r="C141" t="s">
        <v>216</v>
      </c>
      <c r="D141" t="s">
        <v>22</v>
      </c>
      <c r="E141">
        <v>1.4</v>
      </c>
      <c r="F141">
        <v>4</v>
      </c>
      <c r="G141" t="s">
        <v>18</v>
      </c>
      <c r="H141" t="s">
        <v>143</v>
      </c>
      <c r="I141">
        <v>9.1</v>
      </c>
      <c r="J141">
        <v>6.8</v>
      </c>
      <c r="K141">
        <v>8.1</v>
      </c>
      <c r="L141">
        <v>35</v>
      </c>
      <c r="M141">
        <v>186</v>
      </c>
      <c r="O141">
        <f t="shared" si="4"/>
        <v>260.39999999999998</v>
      </c>
      <c r="P141">
        <f t="shared" si="5"/>
        <v>1.9599999999999997</v>
      </c>
    </row>
    <row r="142" spans="1:16" x14ac:dyDescent="0.25">
      <c r="A142">
        <v>2014</v>
      </c>
      <c r="B142" t="s">
        <v>232</v>
      </c>
      <c r="C142" t="s">
        <v>246</v>
      </c>
      <c r="D142" t="s">
        <v>26</v>
      </c>
      <c r="E142">
        <v>2</v>
      </c>
      <c r="F142">
        <v>4</v>
      </c>
      <c r="G142" t="s">
        <v>18</v>
      </c>
      <c r="H142" t="s">
        <v>143</v>
      </c>
      <c r="I142">
        <v>9.4</v>
      </c>
      <c r="J142">
        <v>6.5</v>
      </c>
      <c r="K142">
        <v>8.1</v>
      </c>
      <c r="L142">
        <v>35</v>
      </c>
      <c r="M142">
        <v>186</v>
      </c>
      <c r="O142">
        <f t="shared" si="4"/>
        <v>372</v>
      </c>
      <c r="P142">
        <f t="shared" si="5"/>
        <v>4</v>
      </c>
    </row>
    <row r="143" spans="1:16" x14ac:dyDescent="0.25">
      <c r="A143">
        <v>2014</v>
      </c>
      <c r="B143" t="s">
        <v>265</v>
      </c>
      <c r="C143" t="s">
        <v>294</v>
      </c>
      <c r="D143" t="s">
        <v>26</v>
      </c>
      <c r="E143">
        <v>1.6</v>
      </c>
      <c r="F143">
        <v>4</v>
      </c>
      <c r="G143" t="s">
        <v>18</v>
      </c>
      <c r="H143" t="s">
        <v>143</v>
      </c>
      <c r="I143">
        <v>9.4</v>
      </c>
      <c r="J143">
        <v>6.4</v>
      </c>
      <c r="K143">
        <v>8.1</v>
      </c>
      <c r="L143">
        <v>35</v>
      </c>
      <c r="M143">
        <v>186</v>
      </c>
      <c r="O143">
        <f t="shared" si="4"/>
        <v>297.60000000000002</v>
      </c>
      <c r="P143">
        <f t="shared" si="5"/>
        <v>2.5600000000000005</v>
      </c>
    </row>
    <row r="144" spans="1:16" x14ac:dyDescent="0.25">
      <c r="A144">
        <v>2014</v>
      </c>
      <c r="B144" t="s">
        <v>265</v>
      </c>
      <c r="C144" t="s">
        <v>295</v>
      </c>
      <c r="D144" t="s">
        <v>26</v>
      </c>
      <c r="E144">
        <v>1.5</v>
      </c>
      <c r="F144">
        <v>4</v>
      </c>
      <c r="G144" t="s">
        <v>23</v>
      </c>
      <c r="H144" t="s">
        <v>143</v>
      </c>
      <c r="I144">
        <v>9.5</v>
      </c>
      <c r="J144">
        <v>6.3</v>
      </c>
      <c r="K144">
        <v>8.1</v>
      </c>
      <c r="L144">
        <v>35</v>
      </c>
      <c r="M144">
        <v>186</v>
      </c>
      <c r="O144">
        <f t="shared" si="4"/>
        <v>279</v>
      </c>
      <c r="P144">
        <f t="shared" si="5"/>
        <v>2.25</v>
      </c>
    </row>
    <row r="145" spans="1:16" x14ac:dyDescent="0.25">
      <c r="A145">
        <v>2014</v>
      </c>
      <c r="B145" t="s">
        <v>329</v>
      </c>
      <c r="C145" t="s">
        <v>330</v>
      </c>
      <c r="D145" t="s">
        <v>26</v>
      </c>
      <c r="E145">
        <v>2.4</v>
      </c>
      <c r="F145">
        <v>4</v>
      </c>
      <c r="G145" t="s">
        <v>20</v>
      </c>
      <c r="H145" t="s">
        <v>143</v>
      </c>
      <c r="I145">
        <v>9.1</v>
      </c>
      <c r="J145">
        <v>6.9</v>
      </c>
      <c r="K145">
        <v>8.1</v>
      </c>
      <c r="L145">
        <v>35</v>
      </c>
      <c r="M145">
        <v>186</v>
      </c>
      <c r="O145">
        <f t="shared" si="4"/>
        <v>446.4</v>
      </c>
      <c r="P145">
        <f t="shared" si="5"/>
        <v>5.76</v>
      </c>
    </row>
    <row r="146" spans="1:16" x14ac:dyDescent="0.25">
      <c r="A146">
        <v>2014</v>
      </c>
      <c r="B146" t="s">
        <v>490</v>
      </c>
      <c r="C146" t="s">
        <v>503</v>
      </c>
      <c r="D146" t="s">
        <v>26</v>
      </c>
      <c r="E146">
        <v>2.5</v>
      </c>
      <c r="F146">
        <v>4</v>
      </c>
      <c r="G146" t="s">
        <v>18</v>
      </c>
      <c r="H146" t="s">
        <v>143</v>
      </c>
      <c r="I146">
        <v>9.4</v>
      </c>
      <c r="J146">
        <v>6.4</v>
      </c>
      <c r="K146">
        <v>8.1</v>
      </c>
      <c r="L146">
        <v>35</v>
      </c>
      <c r="M146">
        <v>186</v>
      </c>
      <c r="O146">
        <f t="shared" si="4"/>
        <v>465</v>
      </c>
      <c r="P146">
        <f t="shared" si="5"/>
        <v>6.25</v>
      </c>
    </row>
    <row r="147" spans="1:16" x14ac:dyDescent="0.25">
      <c r="A147">
        <v>2014</v>
      </c>
      <c r="B147" t="s">
        <v>593</v>
      </c>
      <c r="C147" t="s">
        <v>602</v>
      </c>
      <c r="D147" t="s">
        <v>59</v>
      </c>
      <c r="E147">
        <v>1.6</v>
      </c>
      <c r="F147">
        <v>4</v>
      </c>
      <c r="G147" t="s">
        <v>209</v>
      </c>
      <c r="H147" t="s">
        <v>17</v>
      </c>
      <c r="I147">
        <v>8.6999999999999993</v>
      </c>
      <c r="J147">
        <v>7.3</v>
      </c>
      <c r="K147">
        <v>8.1</v>
      </c>
      <c r="L147">
        <v>35</v>
      </c>
      <c r="M147">
        <v>186</v>
      </c>
      <c r="O147">
        <f t="shared" si="4"/>
        <v>297.60000000000002</v>
      </c>
      <c r="P147">
        <f t="shared" si="5"/>
        <v>2.5600000000000005</v>
      </c>
    </row>
    <row r="148" spans="1:16" x14ac:dyDescent="0.25">
      <c r="A148">
        <v>2014</v>
      </c>
      <c r="B148" t="s">
        <v>141</v>
      </c>
      <c r="C148" t="s">
        <v>150</v>
      </c>
      <c r="D148" t="s">
        <v>26</v>
      </c>
      <c r="E148">
        <v>2.4</v>
      </c>
      <c r="F148">
        <v>4</v>
      </c>
      <c r="G148" t="s">
        <v>23</v>
      </c>
      <c r="H148" t="s">
        <v>143</v>
      </c>
      <c r="I148">
        <v>9.6</v>
      </c>
      <c r="J148">
        <v>6.5</v>
      </c>
      <c r="K148">
        <v>8.1999999999999993</v>
      </c>
      <c r="L148">
        <v>34</v>
      </c>
      <c r="M148">
        <v>189</v>
      </c>
      <c r="O148">
        <f t="shared" si="4"/>
        <v>453.59999999999997</v>
      </c>
      <c r="P148">
        <f t="shared" si="5"/>
        <v>5.76</v>
      </c>
    </row>
    <row r="149" spans="1:16" x14ac:dyDescent="0.25">
      <c r="A149">
        <v>2014</v>
      </c>
      <c r="B149" t="s">
        <v>141</v>
      </c>
      <c r="C149" t="s">
        <v>153</v>
      </c>
      <c r="D149" t="s">
        <v>26</v>
      </c>
      <c r="E149">
        <v>2.4</v>
      </c>
      <c r="F149">
        <v>4</v>
      </c>
      <c r="G149" t="s">
        <v>23</v>
      </c>
      <c r="H149" t="s">
        <v>143</v>
      </c>
      <c r="I149">
        <v>9.6</v>
      </c>
      <c r="J149">
        <v>6.5</v>
      </c>
      <c r="K149">
        <v>8.1999999999999993</v>
      </c>
      <c r="L149">
        <v>34</v>
      </c>
      <c r="M149">
        <v>189</v>
      </c>
      <c r="O149">
        <f t="shared" si="4"/>
        <v>453.59999999999997</v>
      </c>
      <c r="P149">
        <f t="shared" si="5"/>
        <v>5.76</v>
      </c>
    </row>
    <row r="150" spans="1:16" x14ac:dyDescent="0.25">
      <c r="A150">
        <v>2014</v>
      </c>
      <c r="B150" t="s">
        <v>175</v>
      </c>
      <c r="C150" t="s">
        <v>182</v>
      </c>
      <c r="D150" t="s">
        <v>26</v>
      </c>
      <c r="E150">
        <v>1.8</v>
      </c>
      <c r="F150">
        <v>4</v>
      </c>
      <c r="G150" t="s">
        <v>18</v>
      </c>
      <c r="H150" t="s">
        <v>143</v>
      </c>
      <c r="I150">
        <v>9.5</v>
      </c>
      <c r="J150">
        <v>6.5</v>
      </c>
      <c r="K150">
        <v>8.1999999999999993</v>
      </c>
      <c r="L150">
        <v>34</v>
      </c>
      <c r="M150">
        <v>189</v>
      </c>
      <c r="O150">
        <f t="shared" si="4"/>
        <v>340.2</v>
      </c>
      <c r="P150">
        <f t="shared" si="5"/>
        <v>3.24</v>
      </c>
    </row>
    <row r="151" spans="1:16" x14ac:dyDescent="0.25">
      <c r="A151">
        <v>2014</v>
      </c>
      <c r="B151" t="s">
        <v>358</v>
      </c>
      <c r="C151" t="s">
        <v>363</v>
      </c>
      <c r="D151" t="s">
        <v>15</v>
      </c>
      <c r="E151">
        <v>3.5</v>
      </c>
      <c r="F151">
        <v>6</v>
      </c>
      <c r="G151" t="s">
        <v>360</v>
      </c>
      <c r="H151" t="s">
        <v>17</v>
      </c>
      <c r="I151">
        <v>8.6999999999999993</v>
      </c>
      <c r="J151">
        <v>7.5</v>
      </c>
      <c r="K151">
        <v>8.1999999999999993</v>
      </c>
      <c r="L151">
        <v>34</v>
      </c>
      <c r="M151">
        <v>189</v>
      </c>
      <c r="O151">
        <f t="shared" si="4"/>
        <v>661.5</v>
      </c>
      <c r="P151">
        <f t="shared" si="5"/>
        <v>12.25</v>
      </c>
    </row>
    <row r="152" spans="1:16" x14ac:dyDescent="0.25">
      <c r="A152">
        <v>2014</v>
      </c>
      <c r="B152" t="s">
        <v>450</v>
      </c>
      <c r="C152" t="s">
        <v>472</v>
      </c>
      <c r="D152" t="s">
        <v>22</v>
      </c>
      <c r="E152">
        <v>3.5</v>
      </c>
      <c r="F152">
        <v>6</v>
      </c>
      <c r="G152" t="s">
        <v>453</v>
      </c>
      <c r="H152" t="s">
        <v>17</v>
      </c>
      <c r="I152">
        <v>7.9</v>
      </c>
      <c r="J152">
        <v>8.6</v>
      </c>
      <c r="K152">
        <v>8.1999999999999993</v>
      </c>
      <c r="L152">
        <v>34</v>
      </c>
      <c r="M152">
        <v>189</v>
      </c>
      <c r="O152">
        <f t="shared" si="4"/>
        <v>661.5</v>
      </c>
      <c r="P152">
        <f t="shared" si="5"/>
        <v>12.25</v>
      </c>
    </row>
    <row r="153" spans="1:16" x14ac:dyDescent="0.25">
      <c r="A153">
        <v>2014</v>
      </c>
      <c r="B153" t="s">
        <v>490</v>
      </c>
      <c r="C153" t="s">
        <v>491</v>
      </c>
      <c r="D153" t="s">
        <v>22</v>
      </c>
      <c r="E153">
        <v>2</v>
      </c>
      <c r="F153">
        <v>4</v>
      </c>
      <c r="G153" t="s">
        <v>23</v>
      </c>
      <c r="H153" t="s">
        <v>143</v>
      </c>
      <c r="I153">
        <v>8.9</v>
      </c>
      <c r="J153">
        <v>7.3</v>
      </c>
      <c r="K153">
        <v>8.1999999999999993</v>
      </c>
      <c r="L153">
        <v>34</v>
      </c>
      <c r="M153">
        <v>189</v>
      </c>
      <c r="O153">
        <f t="shared" si="4"/>
        <v>378</v>
      </c>
      <c r="P153">
        <f t="shared" si="5"/>
        <v>4</v>
      </c>
    </row>
    <row r="154" spans="1:16" x14ac:dyDescent="0.25">
      <c r="A154">
        <v>2014</v>
      </c>
      <c r="B154" t="s">
        <v>582</v>
      </c>
      <c r="C154" t="s">
        <v>583</v>
      </c>
      <c r="D154" t="s">
        <v>15</v>
      </c>
      <c r="E154">
        <v>2</v>
      </c>
      <c r="F154">
        <v>4</v>
      </c>
      <c r="G154" t="s">
        <v>453</v>
      </c>
      <c r="H154" t="s">
        <v>143</v>
      </c>
      <c r="I154">
        <v>9.1999999999999993</v>
      </c>
      <c r="J154">
        <v>7</v>
      </c>
      <c r="K154">
        <v>8.1999999999999993</v>
      </c>
      <c r="L154">
        <v>34</v>
      </c>
      <c r="M154">
        <v>189</v>
      </c>
      <c r="O154">
        <f t="shared" si="4"/>
        <v>378</v>
      </c>
      <c r="P154">
        <f t="shared" si="5"/>
        <v>4</v>
      </c>
    </row>
    <row r="155" spans="1:16" x14ac:dyDescent="0.25">
      <c r="A155">
        <v>2014</v>
      </c>
      <c r="B155" t="s">
        <v>691</v>
      </c>
      <c r="C155" t="s">
        <v>695</v>
      </c>
      <c r="D155" t="s">
        <v>26</v>
      </c>
      <c r="E155">
        <v>2.5</v>
      </c>
      <c r="F155">
        <v>4</v>
      </c>
      <c r="G155" t="s">
        <v>23</v>
      </c>
      <c r="H155" t="s">
        <v>143</v>
      </c>
      <c r="I155">
        <v>9.5</v>
      </c>
      <c r="J155">
        <v>6.6</v>
      </c>
      <c r="K155">
        <v>8.1999999999999993</v>
      </c>
      <c r="L155">
        <v>34</v>
      </c>
      <c r="M155">
        <v>189</v>
      </c>
      <c r="O155">
        <f t="shared" si="4"/>
        <v>472.5</v>
      </c>
      <c r="P155">
        <f t="shared" si="5"/>
        <v>6.25</v>
      </c>
    </row>
    <row r="156" spans="1:16" x14ac:dyDescent="0.25">
      <c r="A156">
        <v>2014</v>
      </c>
      <c r="B156" t="s">
        <v>691</v>
      </c>
      <c r="C156" t="s">
        <v>701</v>
      </c>
      <c r="D156" t="s">
        <v>59</v>
      </c>
      <c r="E156">
        <v>1.8</v>
      </c>
      <c r="F156">
        <v>4</v>
      </c>
      <c r="G156" t="s">
        <v>126</v>
      </c>
      <c r="H156" t="s">
        <v>143</v>
      </c>
      <c r="I156">
        <v>8.9</v>
      </c>
      <c r="J156">
        <v>7.3</v>
      </c>
      <c r="K156">
        <v>8.1999999999999993</v>
      </c>
      <c r="L156">
        <v>34</v>
      </c>
      <c r="M156">
        <v>189</v>
      </c>
      <c r="O156">
        <f t="shared" si="4"/>
        <v>340.2</v>
      </c>
      <c r="P156">
        <f t="shared" si="5"/>
        <v>3.24</v>
      </c>
    </row>
    <row r="157" spans="1:16" x14ac:dyDescent="0.25">
      <c r="A157">
        <v>2014</v>
      </c>
      <c r="B157" t="s">
        <v>691</v>
      </c>
      <c r="C157" t="s">
        <v>706</v>
      </c>
      <c r="D157" t="s">
        <v>64</v>
      </c>
      <c r="E157">
        <v>3.5</v>
      </c>
      <c r="F157">
        <v>6</v>
      </c>
      <c r="G157" t="s">
        <v>453</v>
      </c>
      <c r="H157" t="s">
        <v>143</v>
      </c>
      <c r="I157">
        <v>7.9</v>
      </c>
      <c r="J157">
        <v>8.6</v>
      </c>
      <c r="K157">
        <v>8.1999999999999993</v>
      </c>
      <c r="L157">
        <v>34</v>
      </c>
      <c r="M157">
        <v>189</v>
      </c>
      <c r="O157">
        <f t="shared" si="4"/>
        <v>661.5</v>
      </c>
      <c r="P157">
        <f t="shared" si="5"/>
        <v>12.25</v>
      </c>
    </row>
    <row r="158" spans="1:16" x14ac:dyDescent="0.25">
      <c r="A158">
        <v>2014</v>
      </c>
      <c r="B158" t="s">
        <v>723</v>
      </c>
      <c r="C158" t="s">
        <v>732</v>
      </c>
      <c r="D158" t="s">
        <v>15</v>
      </c>
      <c r="E158">
        <v>1.8</v>
      </c>
      <c r="F158">
        <v>4</v>
      </c>
      <c r="G158" t="s">
        <v>33</v>
      </c>
      <c r="H158" t="s">
        <v>143</v>
      </c>
      <c r="I158">
        <v>9.5</v>
      </c>
      <c r="J158">
        <v>6.7</v>
      </c>
      <c r="K158">
        <v>8.1999999999999993</v>
      </c>
      <c r="L158">
        <v>34</v>
      </c>
      <c r="M158">
        <v>189</v>
      </c>
      <c r="O158">
        <f t="shared" si="4"/>
        <v>340.2</v>
      </c>
      <c r="P158">
        <f t="shared" si="5"/>
        <v>3.24</v>
      </c>
    </row>
    <row r="159" spans="1:16" x14ac:dyDescent="0.25">
      <c r="A159">
        <v>2014</v>
      </c>
      <c r="B159" t="s">
        <v>723</v>
      </c>
      <c r="C159" t="s">
        <v>732</v>
      </c>
      <c r="D159" t="s">
        <v>15</v>
      </c>
      <c r="E159">
        <v>1.8</v>
      </c>
      <c r="F159">
        <v>4</v>
      </c>
      <c r="G159" t="s">
        <v>126</v>
      </c>
      <c r="H159" t="s">
        <v>143</v>
      </c>
      <c r="I159">
        <v>9.4</v>
      </c>
      <c r="J159">
        <v>6.7</v>
      </c>
      <c r="K159">
        <v>8.1999999999999993</v>
      </c>
      <c r="L159">
        <v>34</v>
      </c>
      <c r="M159">
        <v>189</v>
      </c>
      <c r="O159">
        <f t="shared" si="4"/>
        <v>340.2</v>
      </c>
      <c r="P159">
        <f t="shared" si="5"/>
        <v>3.24</v>
      </c>
    </row>
    <row r="160" spans="1:16" x14ac:dyDescent="0.25">
      <c r="A160">
        <v>2014</v>
      </c>
      <c r="B160" t="s">
        <v>41</v>
      </c>
      <c r="C160" t="s">
        <v>49</v>
      </c>
      <c r="D160" t="s">
        <v>26</v>
      </c>
      <c r="E160">
        <v>3</v>
      </c>
      <c r="F160">
        <v>6</v>
      </c>
      <c r="G160" t="s">
        <v>45</v>
      </c>
      <c r="H160" t="s">
        <v>50</v>
      </c>
      <c r="I160">
        <v>9.8000000000000007</v>
      </c>
      <c r="J160">
        <v>6.4</v>
      </c>
      <c r="K160">
        <v>8.3000000000000007</v>
      </c>
      <c r="L160">
        <v>34</v>
      </c>
      <c r="M160">
        <v>224</v>
      </c>
      <c r="O160">
        <f t="shared" si="4"/>
        <v>672</v>
      </c>
      <c r="P160">
        <f t="shared" si="5"/>
        <v>9</v>
      </c>
    </row>
    <row r="161" spans="1:16" x14ac:dyDescent="0.25">
      <c r="A161">
        <v>2014</v>
      </c>
      <c r="B161" t="s">
        <v>41</v>
      </c>
      <c r="C161" t="s">
        <v>52</v>
      </c>
      <c r="D161" t="s">
        <v>26</v>
      </c>
      <c r="E161">
        <v>3</v>
      </c>
      <c r="F161">
        <v>6</v>
      </c>
      <c r="G161" t="s">
        <v>45</v>
      </c>
      <c r="H161" t="s">
        <v>50</v>
      </c>
      <c r="I161">
        <v>9.8000000000000007</v>
      </c>
      <c r="J161">
        <v>6.4</v>
      </c>
      <c r="K161">
        <v>8.3000000000000007</v>
      </c>
      <c r="L161">
        <v>34</v>
      </c>
      <c r="M161">
        <v>224</v>
      </c>
      <c r="O161">
        <f t="shared" si="4"/>
        <v>672</v>
      </c>
      <c r="P161">
        <f t="shared" si="5"/>
        <v>9</v>
      </c>
    </row>
    <row r="162" spans="1:16" x14ac:dyDescent="0.25">
      <c r="A162">
        <v>2014</v>
      </c>
      <c r="B162" t="s">
        <v>90</v>
      </c>
      <c r="C162" t="s">
        <v>121</v>
      </c>
      <c r="D162" t="s">
        <v>15</v>
      </c>
      <c r="E162">
        <v>3</v>
      </c>
      <c r="F162">
        <v>6</v>
      </c>
      <c r="G162" t="s">
        <v>53</v>
      </c>
      <c r="H162" t="s">
        <v>17</v>
      </c>
      <c r="I162">
        <v>9.1999999999999993</v>
      </c>
      <c r="J162">
        <v>7.1</v>
      </c>
      <c r="K162">
        <v>8.3000000000000007</v>
      </c>
      <c r="L162">
        <v>34</v>
      </c>
      <c r="M162">
        <v>191</v>
      </c>
      <c r="O162">
        <f t="shared" si="4"/>
        <v>573</v>
      </c>
      <c r="P162">
        <f t="shared" si="5"/>
        <v>9</v>
      </c>
    </row>
    <row r="163" spans="1:16" x14ac:dyDescent="0.25">
      <c r="A163">
        <v>2014</v>
      </c>
      <c r="B163" t="s">
        <v>175</v>
      </c>
      <c r="C163" t="s">
        <v>204</v>
      </c>
      <c r="D163" t="s">
        <v>15</v>
      </c>
      <c r="E163">
        <v>1.8</v>
      </c>
      <c r="F163">
        <v>4</v>
      </c>
      <c r="G163" t="s">
        <v>23</v>
      </c>
      <c r="H163" t="s">
        <v>143</v>
      </c>
      <c r="I163">
        <v>9.6</v>
      </c>
      <c r="J163">
        <v>6.6</v>
      </c>
      <c r="K163">
        <v>8.3000000000000007</v>
      </c>
      <c r="L163">
        <v>34</v>
      </c>
      <c r="M163">
        <v>191</v>
      </c>
      <c r="O163">
        <f t="shared" si="4"/>
        <v>343.8</v>
      </c>
      <c r="P163">
        <f t="shared" si="5"/>
        <v>3.24</v>
      </c>
    </row>
    <row r="164" spans="1:16" x14ac:dyDescent="0.25">
      <c r="A164">
        <v>2014</v>
      </c>
      <c r="B164" t="s">
        <v>175</v>
      </c>
      <c r="C164" t="s">
        <v>205</v>
      </c>
      <c r="D164" t="s">
        <v>26</v>
      </c>
      <c r="E164">
        <v>1.8</v>
      </c>
      <c r="F164">
        <v>4</v>
      </c>
      <c r="G164" t="s">
        <v>23</v>
      </c>
      <c r="H164" t="s">
        <v>143</v>
      </c>
      <c r="I164">
        <v>9.6</v>
      </c>
      <c r="J164">
        <v>6.6</v>
      </c>
      <c r="K164">
        <v>8.3000000000000007</v>
      </c>
      <c r="L164">
        <v>34</v>
      </c>
      <c r="M164">
        <v>191</v>
      </c>
      <c r="O164">
        <f t="shared" si="4"/>
        <v>343.8</v>
      </c>
      <c r="P164">
        <f t="shared" si="5"/>
        <v>3.24</v>
      </c>
    </row>
    <row r="165" spans="1:16" x14ac:dyDescent="0.25">
      <c r="A165">
        <v>2014</v>
      </c>
      <c r="B165" t="s">
        <v>175</v>
      </c>
      <c r="C165" t="s">
        <v>206</v>
      </c>
      <c r="D165" t="s">
        <v>26</v>
      </c>
      <c r="E165">
        <v>1.4</v>
      </c>
      <c r="F165">
        <v>4</v>
      </c>
      <c r="G165" t="s">
        <v>23</v>
      </c>
      <c r="H165" t="s">
        <v>143</v>
      </c>
      <c r="I165">
        <v>9.4</v>
      </c>
      <c r="J165">
        <v>7</v>
      </c>
      <c r="K165">
        <v>8.3000000000000007</v>
      </c>
      <c r="L165">
        <v>34</v>
      </c>
      <c r="M165">
        <v>191</v>
      </c>
      <c r="O165">
        <f t="shared" si="4"/>
        <v>267.39999999999998</v>
      </c>
      <c r="P165">
        <f t="shared" si="5"/>
        <v>1.9599999999999997</v>
      </c>
    </row>
    <row r="166" spans="1:16" x14ac:dyDescent="0.25">
      <c r="A166">
        <v>2014</v>
      </c>
      <c r="B166" t="s">
        <v>175</v>
      </c>
      <c r="C166" t="s">
        <v>207</v>
      </c>
      <c r="D166" t="s">
        <v>15</v>
      </c>
      <c r="E166">
        <v>1.4</v>
      </c>
      <c r="F166">
        <v>4</v>
      </c>
      <c r="G166" t="s">
        <v>23</v>
      </c>
      <c r="H166" t="s">
        <v>143</v>
      </c>
      <c r="I166">
        <v>9.4</v>
      </c>
      <c r="J166">
        <v>7</v>
      </c>
      <c r="K166">
        <v>8.3000000000000007</v>
      </c>
      <c r="L166">
        <v>34</v>
      </c>
      <c r="M166">
        <v>191</v>
      </c>
      <c r="O166">
        <f t="shared" si="4"/>
        <v>267.39999999999998</v>
      </c>
      <c r="P166">
        <f t="shared" si="5"/>
        <v>1.9599999999999997</v>
      </c>
    </row>
    <row r="167" spans="1:16" x14ac:dyDescent="0.25">
      <c r="A167">
        <v>2014</v>
      </c>
      <c r="B167" t="s">
        <v>414</v>
      </c>
      <c r="C167" t="s">
        <v>416</v>
      </c>
      <c r="D167" t="s">
        <v>26</v>
      </c>
      <c r="E167">
        <v>1.8</v>
      </c>
      <c r="F167">
        <v>4</v>
      </c>
      <c r="G167" t="s">
        <v>33</v>
      </c>
      <c r="H167" t="s">
        <v>143</v>
      </c>
      <c r="I167">
        <v>9.6</v>
      </c>
      <c r="J167">
        <v>6.6</v>
      </c>
      <c r="K167">
        <v>8.3000000000000007</v>
      </c>
      <c r="L167">
        <v>34</v>
      </c>
      <c r="M167">
        <v>191</v>
      </c>
      <c r="O167">
        <f t="shared" si="4"/>
        <v>343.8</v>
      </c>
      <c r="P167">
        <f t="shared" si="5"/>
        <v>3.24</v>
      </c>
    </row>
    <row r="168" spans="1:16" x14ac:dyDescent="0.25">
      <c r="A168">
        <v>2014</v>
      </c>
      <c r="B168" t="s">
        <v>563</v>
      </c>
      <c r="C168" t="s">
        <v>570</v>
      </c>
      <c r="D168" t="s">
        <v>35</v>
      </c>
      <c r="E168">
        <v>1.6</v>
      </c>
      <c r="F168">
        <v>4</v>
      </c>
      <c r="G168" t="s">
        <v>33</v>
      </c>
      <c r="H168" t="s">
        <v>17</v>
      </c>
      <c r="I168">
        <v>9.3000000000000007</v>
      </c>
      <c r="J168">
        <v>7</v>
      </c>
      <c r="K168">
        <v>8.3000000000000007</v>
      </c>
      <c r="L168">
        <v>34</v>
      </c>
      <c r="M168">
        <v>191</v>
      </c>
      <c r="O168">
        <f t="shared" si="4"/>
        <v>305.60000000000002</v>
      </c>
      <c r="P168">
        <f t="shared" si="5"/>
        <v>2.5600000000000005</v>
      </c>
    </row>
    <row r="169" spans="1:16" x14ac:dyDescent="0.25">
      <c r="A169">
        <v>2014</v>
      </c>
      <c r="B169" t="s">
        <v>563</v>
      </c>
      <c r="C169" t="s">
        <v>571</v>
      </c>
      <c r="D169" t="s">
        <v>32</v>
      </c>
      <c r="E169">
        <v>1.6</v>
      </c>
      <c r="F169">
        <v>4</v>
      </c>
      <c r="G169" t="s">
        <v>33</v>
      </c>
      <c r="H169" t="s">
        <v>17</v>
      </c>
      <c r="I169">
        <v>9.3000000000000007</v>
      </c>
      <c r="J169">
        <v>7</v>
      </c>
      <c r="K169">
        <v>8.3000000000000007</v>
      </c>
      <c r="L169">
        <v>34</v>
      </c>
      <c r="M169">
        <v>191</v>
      </c>
      <c r="O169">
        <f t="shared" si="4"/>
        <v>305.60000000000002</v>
      </c>
      <c r="P169">
        <f t="shared" si="5"/>
        <v>2.5600000000000005</v>
      </c>
    </row>
    <row r="170" spans="1:16" x14ac:dyDescent="0.25">
      <c r="A170">
        <v>2014</v>
      </c>
      <c r="B170" t="s">
        <v>563</v>
      </c>
      <c r="C170" t="s">
        <v>573</v>
      </c>
      <c r="D170" t="s">
        <v>37</v>
      </c>
      <c r="E170">
        <v>1.6</v>
      </c>
      <c r="F170">
        <v>4</v>
      </c>
      <c r="G170" t="s">
        <v>33</v>
      </c>
      <c r="H170" t="s">
        <v>17</v>
      </c>
      <c r="I170">
        <v>9.3000000000000007</v>
      </c>
      <c r="J170">
        <v>7</v>
      </c>
      <c r="K170">
        <v>8.3000000000000007</v>
      </c>
      <c r="L170">
        <v>34</v>
      </c>
      <c r="M170">
        <v>191</v>
      </c>
      <c r="O170">
        <f t="shared" si="4"/>
        <v>305.60000000000002</v>
      </c>
      <c r="P170">
        <f t="shared" si="5"/>
        <v>2.5600000000000005</v>
      </c>
    </row>
    <row r="171" spans="1:16" x14ac:dyDescent="0.25">
      <c r="A171">
        <v>2014</v>
      </c>
      <c r="B171" t="s">
        <v>563</v>
      </c>
      <c r="C171" t="s">
        <v>575</v>
      </c>
      <c r="D171" t="s">
        <v>37</v>
      </c>
      <c r="E171">
        <v>1.6</v>
      </c>
      <c r="F171">
        <v>4</v>
      </c>
      <c r="G171" t="s">
        <v>33</v>
      </c>
      <c r="H171" t="s">
        <v>17</v>
      </c>
      <c r="I171">
        <v>9.3000000000000007</v>
      </c>
      <c r="J171">
        <v>7</v>
      </c>
      <c r="K171">
        <v>8.3000000000000007</v>
      </c>
      <c r="L171">
        <v>34</v>
      </c>
      <c r="M171">
        <v>191</v>
      </c>
      <c r="O171">
        <f t="shared" si="4"/>
        <v>305.60000000000002</v>
      </c>
      <c r="P171">
        <f t="shared" si="5"/>
        <v>2.5600000000000005</v>
      </c>
    </row>
    <row r="172" spans="1:16" x14ac:dyDescent="0.25">
      <c r="A172">
        <v>2014</v>
      </c>
      <c r="B172" t="s">
        <v>563</v>
      </c>
      <c r="C172" t="s">
        <v>576</v>
      </c>
      <c r="D172" t="s">
        <v>35</v>
      </c>
      <c r="E172">
        <v>1.6</v>
      </c>
      <c r="F172">
        <v>4</v>
      </c>
      <c r="G172" t="s">
        <v>33</v>
      </c>
      <c r="H172" t="s">
        <v>17</v>
      </c>
      <c r="I172">
        <v>9.3000000000000007</v>
      </c>
      <c r="J172">
        <v>7</v>
      </c>
      <c r="K172">
        <v>8.3000000000000007</v>
      </c>
      <c r="L172">
        <v>34</v>
      </c>
      <c r="M172">
        <v>191</v>
      </c>
      <c r="O172">
        <f t="shared" si="4"/>
        <v>305.60000000000002</v>
      </c>
      <c r="P172">
        <f t="shared" si="5"/>
        <v>2.5600000000000005</v>
      </c>
    </row>
    <row r="173" spans="1:16" x14ac:dyDescent="0.25">
      <c r="A173">
        <v>2014</v>
      </c>
      <c r="B173" t="s">
        <v>563</v>
      </c>
      <c r="C173" t="s">
        <v>577</v>
      </c>
      <c r="D173" t="s">
        <v>32</v>
      </c>
      <c r="E173">
        <v>1.6</v>
      </c>
      <c r="F173">
        <v>4</v>
      </c>
      <c r="G173" t="s">
        <v>33</v>
      </c>
      <c r="H173" t="s">
        <v>17</v>
      </c>
      <c r="I173">
        <v>9.3000000000000007</v>
      </c>
      <c r="J173">
        <v>7</v>
      </c>
      <c r="K173">
        <v>8.3000000000000007</v>
      </c>
      <c r="L173">
        <v>34</v>
      </c>
      <c r="M173">
        <v>191</v>
      </c>
      <c r="O173">
        <f t="shared" si="4"/>
        <v>305.60000000000002</v>
      </c>
      <c r="P173">
        <f t="shared" si="5"/>
        <v>2.5600000000000005</v>
      </c>
    </row>
    <row r="174" spans="1:16" x14ac:dyDescent="0.25">
      <c r="A174">
        <v>2014</v>
      </c>
      <c r="B174" t="s">
        <v>563</v>
      </c>
      <c r="C174" t="s">
        <v>579</v>
      </c>
      <c r="D174" t="s">
        <v>37</v>
      </c>
      <c r="E174">
        <v>1.6</v>
      </c>
      <c r="F174">
        <v>4</v>
      </c>
      <c r="G174" t="s">
        <v>33</v>
      </c>
      <c r="H174" t="s">
        <v>17</v>
      </c>
      <c r="I174">
        <v>9.3000000000000007</v>
      </c>
      <c r="J174">
        <v>7</v>
      </c>
      <c r="K174">
        <v>8.3000000000000007</v>
      </c>
      <c r="L174">
        <v>34</v>
      </c>
      <c r="M174">
        <v>191</v>
      </c>
      <c r="O174">
        <f t="shared" si="4"/>
        <v>305.60000000000002</v>
      </c>
      <c r="P174">
        <f t="shared" si="5"/>
        <v>2.5600000000000005</v>
      </c>
    </row>
    <row r="175" spans="1:16" x14ac:dyDescent="0.25">
      <c r="A175">
        <v>2014</v>
      </c>
      <c r="B175" t="s">
        <v>563</v>
      </c>
      <c r="C175" t="s">
        <v>581</v>
      </c>
      <c r="D175" t="s">
        <v>37</v>
      </c>
      <c r="E175">
        <v>1.6</v>
      </c>
      <c r="F175">
        <v>4</v>
      </c>
      <c r="G175" t="s">
        <v>33</v>
      </c>
      <c r="H175" t="s">
        <v>17</v>
      </c>
      <c r="I175">
        <v>9.3000000000000007</v>
      </c>
      <c r="J175">
        <v>7</v>
      </c>
      <c r="K175">
        <v>8.3000000000000007</v>
      </c>
      <c r="L175">
        <v>34</v>
      </c>
      <c r="M175">
        <v>191</v>
      </c>
      <c r="O175">
        <f t="shared" si="4"/>
        <v>305.60000000000002</v>
      </c>
      <c r="P175">
        <f t="shared" si="5"/>
        <v>2.5600000000000005</v>
      </c>
    </row>
    <row r="176" spans="1:16" x14ac:dyDescent="0.25">
      <c r="A176">
        <v>2014</v>
      </c>
      <c r="B176" t="s">
        <v>582</v>
      </c>
      <c r="C176" t="s">
        <v>583</v>
      </c>
      <c r="D176" t="s">
        <v>15</v>
      </c>
      <c r="E176">
        <v>2</v>
      </c>
      <c r="F176">
        <v>4</v>
      </c>
      <c r="G176" t="s">
        <v>126</v>
      </c>
      <c r="H176" t="s">
        <v>143</v>
      </c>
      <c r="I176">
        <v>9.6</v>
      </c>
      <c r="J176">
        <v>6.8</v>
      </c>
      <c r="K176">
        <v>8.3000000000000007</v>
      </c>
      <c r="L176">
        <v>34</v>
      </c>
      <c r="M176">
        <v>191</v>
      </c>
      <c r="O176">
        <f t="shared" si="4"/>
        <v>382</v>
      </c>
      <c r="P176">
        <f t="shared" si="5"/>
        <v>4</v>
      </c>
    </row>
    <row r="177" spans="1:16" x14ac:dyDescent="0.25">
      <c r="A177">
        <v>2014</v>
      </c>
      <c r="B177" t="s">
        <v>593</v>
      </c>
      <c r="C177" t="s">
        <v>611</v>
      </c>
      <c r="D177" t="s">
        <v>22</v>
      </c>
      <c r="E177">
        <v>2.5</v>
      </c>
      <c r="F177">
        <v>4</v>
      </c>
      <c r="G177" t="s">
        <v>209</v>
      </c>
      <c r="H177" t="s">
        <v>143</v>
      </c>
      <c r="I177">
        <v>9.1999999999999993</v>
      </c>
      <c r="J177">
        <v>7.2</v>
      </c>
      <c r="K177">
        <v>8.3000000000000007</v>
      </c>
      <c r="L177">
        <v>34</v>
      </c>
      <c r="M177">
        <v>191</v>
      </c>
      <c r="O177">
        <f t="shared" si="4"/>
        <v>477.5</v>
      </c>
      <c r="P177">
        <f t="shared" si="5"/>
        <v>6.25</v>
      </c>
    </row>
    <row r="178" spans="1:16" x14ac:dyDescent="0.25">
      <c r="A178">
        <v>2014</v>
      </c>
      <c r="B178" t="s">
        <v>691</v>
      </c>
      <c r="C178" t="s">
        <v>705</v>
      </c>
      <c r="D178" t="s">
        <v>64</v>
      </c>
      <c r="E178">
        <v>3.5</v>
      </c>
      <c r="F178">
        <v>6</v>
      </c>
      <c r="G178" t="s">
        <v>453</v>
      </c>
      <c r="H178" t="s">
        <v>143</v>
      </c>
      <c r="I178">
        <v>8</v>
      </c>
      <c r="J178">
        <v>8.6</v>
      </c>
      <c r="K178">
        <v>8.3000000000000007</v>
      </c>
      <c r="L178">
        <v>34</v>
      </c>
      <c r="M178">
        <v>191</v>
      </c>
      <c r="O178">
        <f t="shared" si="4"/>
        <v>668.5</v>
      </c>
      <c r="P178">
        <f t="shared" si="5"/>
        <v>12.25</v>
      </c>
    </row>
    <row r="179" spans="1:16" x14ac:dyDescent="0.25">
      <c r="A179">
        <v>2014</v>
      </c>
      <c r="B179" t="s">
        <v>41</v>
      </c>
      <c r="C179" t="s">
        <v>54</v>
      </c>
      <c r="D179" t="s">
        <v>26</v>
      </c>
      <c r="E179">
        <v>3</v>
      </c>
      <c r="F179">
        <v>6</v>
      </c>
      <c r="G179" t="s">
        <v>45</v>
      </c>
      <c r="H179" t="s">
        <v>50</v>
      </c>
      <c r="I179">
        <v>10</v>
      </c>
      <c r="J179">
        <v>6.4</v>
      </c>
      <c r="K179">
        <v>8.4</v>
      </c>
      <c r="L179">
        <v>34</v>
      </c>
      <c r="M179">
        <v>227</v>
      </c>
      <c r="O179">
        <f t="shared" si="4"/>
        <v>681</v>
      </c>
      <c r="P179">
        <f t="shared" si="5"/>
        <v>9</v>
      </c>
    </row>
    <row r="180" spans="1:16" x14ac:dyDescent="0.25">
      <c r="A180">
        <v>2014</v>
      </c>
      <c r="B180" t="s">
        <v>90</v>
      </c>
      <c r="C180" t="s">
        <v>91</v>
      </c>
      <c r="D180" t="s">
        <v>15</v>
      </c>
      <c r="E180">
        <v>2</v>
      </c>
      <c r="F180">
        <v>4</v>
      </c>
      <c r="G180" t="s">
        <v>53</v>
      </c>
      <c r="H180" t="s">
        <v>17</v>
      </c>
      <c r="I180">
        <v>10</v>
      </c>
      <c r="J180">
        <v>6.5</v>
      </c>
      <c r="K180">
        <v>8.4</v>
      </c>
      <c r="L180">
        <v>34</v>
      </c>
      <c r="M180">
        <v>193</v>
      </c>
      <c r="O180">
        <f t="shared" si="4"/>
        <v>386</v>
      </c>
      <c r="P180">
        <f t="shared" si="5"/>
        <v>4</v>
      </c>
    </row>
    <row r="181" spans="1:16" x14ac:dyDescent="0.25">
      <c r="A181">
        <v>2014</v>
      </c>
      <c r="B181" t="s">
        <v>90</v>
      </c>
      <c r="C181" t="s">
        <v>95</v>
      </c>
      <c r="D181" t="s">
        <v>15</v>
      </c>
      <c r="E181">
        <v>2</v>
      </c>
      <c r="F181">
        <v>4</v>
      </c>
      <c r="G181" t="s">
        <v>53</v>
      </c>
      <c r="H181" t="s">
        <v>17</v>
      </c>
      <c r="I181">
        <v>10</v>
      </c>
      <c r="J181">
        <v>6.5</v>
      </c>
      <c r="K181">
        <v>8.4</v>
      </c>
      <c r="L181">
        <v>34</v>
      </c>
      <c r="M181">
        <v>193</v>
      </c>
      <c r="O181">
        <f t="shared" si="4"/>
        <v>386</v>
      </c>
      <c r="P181">
        <f t="shared" si="5"/>
        <v>4</v>
      </c>
    </row>
    <row r="182" spans="1:16" x14ac:dyDescent="0.25">
      <c r="A182">
        <v>2014</v>
      </c>
      <c r="B182" t="s">
        <v>90</v>
      </c>
      <c r="C182" t="s">
        <v>102</v>
      </c>
      <c r="D182" t="s">
        <v>15</v>
      </c>
      <c r="E182">
        <v>2</v>
      </c>
      <c r="F182">
        <v>4</v>
      </c>
      <c r="G182" t="s">
        <v>53</v>
      </c>
      <c r="H182" t="s">
        <v>17</v>
      </c>
      <c r="I182">
        <v>10</v>
      </c>
      <c r="J182">
        <v>6.5</v>
      </c>
      <c r="K182">
        <v>8.4</v>
      </c>
      <c r="L182">
        <v>34</v>
      </c>
      <c r="M182">
        <v>193</v>
      </c>
      <c r="O182">
        <f t="shared" si="4"/>
        <v>386</v>
      </c>
      <c r="P182">
        <f t="shared" si="5"/>
        <v>4</v>
      </c>
    </row>
    <row r="183" spans="1:16" x14ac:dyDescent="0.25">
      <c r="A183">
        <v>2014</v>
      </c>
      <c r="B183" t="s">
        <v>175</v>
      </c>
      <c r="C183" t="s">
        <v>216</v>
      </c>
      <c r="D183" t="s">
        <v>22</v>
      </c>
      <c r="E183">
        <v>1.4</v>
      </c>
      <c r="F183">
        <v>4</v>
      </c>
      <c r="G183" t="s">
        <v>23</v>
      </c>
      <c r="H183" t="s">
        <v>143</v>
      </c>
      <c r="I183">
        <v>9.4</v>
      </c>
      <c r="J183">
        <v>7.1</v>
      </c>
      <c r="K183">
        <v>8.4</v>
      </c>
      <c r="L183">
        <v>34</v>
      </c>
      <c r="M183">
        <v>193</v>
      </c>
      <c r="O183">
        <f t="shared" si="4"/>
        <v>270.2</v>
      </c>
      <c r="P183">
        <f t="shared" si="5"/>
        <v>1.9599999999999997</v>
      </c>
    </row>
    <row r="184" spans="1:16" x14ac:dyDescent="0.25">
      <c r="A184">
        <v>2014</v>
      </c>
      <c r="B184" t="s">
        <v>257</v>
      </c>
      <c r="C184" t="s">
        <v>264</v>
      </c>
      <c r="D184" t="s">
        <v>59</v>
      </c>
      <c r="E184">
        <v>1.4</v>
      </c>
      <c r="F184">
        <v>4</v>
      </c>
      <c r="G184" t="s">
        <v>18</v>
      </c>
      <c r="H184" t="s">
        <v>143</v>
      </c>
      <c r="I184">
        <v>9.3000000000000007</v>
      </c>
      <c r="J184">
        <v>7.2</v>
      </c>
      <c r="K184">
        <v>8.4</v>
      </c>
      <c r="L184">
        <v>34</v>
      </c>
      <c r="M184">
        <v>193</v>
      </c>
      <c r="O184">
        <f t="shared" si="4"/>
        <v>270.2</v>
      </c>
      <c r="P184">
        <f t="shared" si="5"/>
        <v>1.9599999999999997</v>
      </c>
    </row>
    <row r="185" spans="1:16" x14ac:dyDescent="0.25">
      <c r="A185">
        <v>2014</v>
      </c>
      <c r="B185" t="s">
        <v>414</v>
      </c>
      <c r="C185" t="s">
        <v>416</v>
      </c>
      <c r="D185" t="s">
        <v>26</v>
      </c>
      <c r="E185">
        <v>2</v>
      </c>
      <c r="F185">
        <v>4</v>
      </c>
      <c r="G185" t="s">
        <v>33</v>
      </c>
      <c r="H185" t="s">
        <v>143</v>
      </c>
      <c r="I185">
        <v>9.8000000000000007</v>
      </c>
      <c r="J185">
        <v>6.6</v>
      </c>
      <c r="K185">
        <v>8.4</v>
      </c>
      <c r="L185">
        <v>34</v>
      </c>
      <c r="M185">
        <v>193</v>
      </c>
      <c r="O185">
        <f t="shared" si="4"/>
        <v>386</v>
      </c>
      <c r="P185">
        <f t="shared" si="5"/>
        <v>4</v>
      </c>
    </row>
    <row r="186" spans="1:16" x14ac:dyDescent="0.25">
      <c r="A186">
        <v>2014</v>
      </c>
      <c r="B186" t="s">
        <v>414</v>
      </c>
      <c r="C186" t="s">
        <v>416</v>
      </c>
      <c r="D186" t="s">
        <v>26</v>
      </c>
      <c r="E186">
        <v>2</v>
      </c>
      <c r="F186">
        <v>4</v>
      </c>
      <c r="G186" t="s">
        <v>18</v>
      </c>
      <c r="H186" t="s">
        <v>143</v>
      </c>
      <c r="I186">
        <v>9.6999999999999993</v>
      </c>
      <c r="J186">
        <v>6.8</v>
      </c>
      <c r="K186">
        <v>8.4</v>
      </c>
      <c r="L186">
        <v>34</v>
      </c>
      <c r="M186">
        <v>193</v>
      </c>
      <c r="O186">
        <f t="shared" si="4"/>
        <v>386</v>
      </c>
      <c r="P186">
        <f t="shared" si="5"/>
        <v>4</v>
      </c>
    </row>
    <row r="187" spans="1:16" x14ac:dyDescent="0.25">
      <c r="A187">
        <v>2014</v>
      </c>
      <c r="B187" t="s">
        <v>414</v>
      </c>
      <c r="C187" t="s">
        <v>417</v>
      </c>
      <c r="D187" t="s">
        <v>56</v>
      </c>
      <c r="E187">
        <v>2</v>
      </c>
      <c r="F187">
        <v>4</v>
      </c>
      <c r="G187" t="s">
        <v>33</v>
      </c>
      <c r="H187" t="s">
        <v>143</v>
      </c>
      <c r="I187">
        <v>9.6999999999999993</v>
      </c>
      <c r="J187">
        <v>6.8</v>
      </c>
      <c r="K187">
        <v>8.4</v>
      </c>
      <c r="L187">
        <v>34</v>
      </c>
      <c r="M187">
        <v>193</v>
      </c>
      <c r="O187">
        <f t="shared" si="4"/>
        <v>386</v>
      </c>
      <c r="P187">
        <f t="shared" si="5"/>
        <v>4</v>
      </c>
    </row>
    <row r="188" spans="1:16" x14ac:dyDescent="0.25">
      <c r="A188">
        <v>2014</v>
      </c>
      <c r="B188" t="s">
        <v>414</v>
      </c>
      <c r="C188" t="s">
        <v>418</v>
      </c>
      <c r="D188" t="s">
        <v>15</v>
      </c>
      <c r="E188">
        <v>2</v>
      </c>
      <c r="F188">
        <v>4</v>
      </c>
      <c r="G188" t="s">
        <v>33</v>
      </c>
      <c r="H188" t="s">
        <v>143</v>
      </c>
      <c r="I188">
        <v>9.6</v>
      </c>
      <c r="J188">
        <v>7</v>
      </c>
      <c r="K188">
        <v>8.4</v>
      </c>
      <c r="L188">
        <v>34</v>
      </c>
      <c r="M188">
        <v>193</v>
      </c>
      <c r="O188">
        <f t="shared" si="4"/>
        <v>386</v>
      </c>
      <c r="P188">
        <f t="shared" si="5"/>
        <v>4</v>
      </c>
    </row>
    <row r="189" spans="1:16" x14ac:dyDescent="0.25">
      <c r="A189">
        <v>2014</v>
      </c>
      <c r="B189" t="s">
        <v>667</v>
      </c>
      <c r="C189" t="s">
        <v>668</v>
      </c>
      <c r="D189" t="s">
        <v>32</v>
      </c>
      <c r="E189">
        <v>2</v>
      </c>
      <c r="F189">
        <v>4</v>
      </c>
      <c r="G189" t="s">
        <v>23</v>
      </c>
      <c r="H189" t="s">
        <v>17</v>
      </c>
      <c r="I189">
        <v>9.6</v>
      </c>
      <c r="J189">
        <v>7</v>
      </c>
      <c r="K189">
        <v>8.4</v>
      </c>
      <c r="L189">
        <v>34</v>
      </c>
      <c r="M189">
        <v>193</v>
      </c>
      <c r="O189">
        <f t="shared" si="4"/>
        <v>386</v>
      </c>
      <c r="P189">
        <f t="shared" si="5"/>
        <v>4</v>
      </c>
    </row>
    <row r="190" spans="1:16" x14ac:dyDescent="0.25">
      <c r="A190">
        <v>2014</v>
      </c>
      <c r="B190" t="s">
        <v>13</v>
      </c>
      <c r="C190" t="s">
        <v>14</v>
      </c>
      <c r="D190" t="s">
        <v>15</v>
      </c>
      <c r="E190">
        <v>2</v>
      </c>
      <c r="F190">
        <v>4</v>
      </c>
      <c r="G190" t="s">
        <v>16</v>
      </c>
      <c r="H190" t="s">
        <v>17</v>
      </c>
      <c r="I190">
        <v>9.9</v>
      </c>
      <c r="J190">
        <v>6.7</v>
      </c>
      <c r="K190">
        <v>8.5</v>
      </c>
      <c r="L190">
        <v>33</v>
      </c>
      <c r="M190">
        <v>196</v>
      </c>
      <c r="O190">
        <f t="shared" si="4"/>
        <v>392</v>
      </c>
      <c r="P190">
        <f t="shared" si="5"/>
        <v>4</v>
      </c>
    </row>
    <row r="191" spans="1:16" x14ac:dyDescent="0.25">
      <c r="A191">
        <v>2014</v>
      </c>
      <c r="B191" t="s">
        <v>41</v>
      </c>
      <c r="C191" t="s">
        <v>57</v>
      </c>
      <c r="D191" t="s">
        <v>56</v>
      </c>
      <c r="E191">
        <v>3</v>
      </c>
      <c r="F191">
        <v>6</v>
      </c>
      <c r="G191" t="s">
        <v>45</v>
      </c>
      <c r="H191" t="s">
        <v>50</v>
      </c>
      <c r="I191">
        <v>10.1</v>
      </c>
      <c r="J191">
        <v>6.5</v>
      </c>
      <c r="K191">
        <v>8.5</v>
      </c>
      <c r="L191">
        <v>33</v>
      </c>
      <c r="M191">
        <v>230</v>
      </c>
      <c r="O191">
        <f t="shared" si="4"/>
        <v>690</v>
      </c>
      <c r="P191">
        <f t="shared" si="5"/>
        <v>9</v>
      </c>
    </row>
    <row r="192" spans="1:16" x14ac:dyDescent="0.25">
      <c r="A192">
        <v>2014</v>
      </c>
      <c r="B192" t="s">
        <v>141</v>
      </c>
      <c r="C192" t="s">
        <v>145</v>
      </c>
      <c r="D192" t="s">
        <v>22</v>
      </c>
      <c r="E192">
        <v>1.4</v>
      </c>
      <c r="F192">
        <v>4</v>
      </c>
      <c r="G192" t="s">
        <v>23</v>
      </c>
      <c r="H192" t="s">
        <v>143</v>
      </c>
      <c r="I192">
        <v>9.5</v>
      </c>
      <c r="J192">
        <v>7.2</v>
      </c>
      <c r="K192">
        <v>8.5</v>
      </c>
      <c r="L192">
        <v>33</v>
      </c>
      <c r="M192">
        <v>196</v>
      </c>
      <c r="O192">
        <f t="shared" si="4"/>
        <v>274.39999999999998</v>
      </c>
      <c r="P192">
        <f t="shared" si="5"/>
        <v>1.9599999999999997</v>
      </c>
    </row>
    <row r="193" spans="1:16" x14ac:dyDescent="0.25">
      <c r="A193">
        <v>2014</v>
      </c>
      <c r="B193" t="s">
        <v>265</v>
      </c>
      <c r="C193" t="s">
        <v>294</v>
      </c>
      <c r="D193" t="s">
        <v>26</v>
      </c>
      <c r="E193">
        <v>1.5</v>
      </c>
      <c r="F193">
        <v>4</v>
      </c>
      <c r="G193" t="s">
        <v>23</v>
      </c>
      <c r="H193" t="s">
        <v>143</v>
      </c>
      <c r="I193">
        <v>10.1</v>
      </c>
      <c r="J193">
        <v>6.6</v>
      </c>
      <c r="K193">
        <v>8.5</v>
      </c>
      <c r="L193">
        <v>33</v>
      </c>
      <c r="M193">
        <v>196</v>
      </c>
      <c r="O193">
        <f t="shared" si="4"/>
        <v>294</v>
      </c>
      <c r="P193">
        <f t="shared" si="5"/>
        <v>2.25</v>
      </c>
    </row>
    <row r="194" spans="1:16" x14ac:dyDescent="0.25">
      <c r="A194">
        <v>2014</v>
      </c>
      <c r="B194" t="s">
        <v>342</v>
      </c>
      <c r="C194" t="s">
        <v>344</v>
      </c>
      <c r="D194" t="s">
        <v>26</v>
      </c>
      <c r="E194">
        <v>2</v>
      </c>
      <c r="F194">
        <v>4</v>
      </c>
      <c r="G194" t="s">
        <v>18</v>
      </c>
      <c r="H194" t="s">
        <v>143</v>
      </c>
      <c r="I194">
        <v>9.8000000000000007</v>
      </c>
      <c r="J194">
        <v>7</v>
      </c>
      <c r="K194">
        <v>8.5</v>
      </c>
      <c r="L194">
        <v>33</v>
      </c>
      <c r="M194">
        <v>196</v>
      </c>
      <c r="O194">
        <f t="shared" si="4"/>
        <v>392</v>
      </c>
      <c r="P194">
        <f t="shared" si="5"/>
        <v>4</v>
      </c>
    </row>
    <row r="195" spans="1:16" x14ac:dyDescent="0.25">
      <c r="A195">
        <v>2014</v>
      </c>
      <c r="B195" t="s">
        <v>342</v>
      </c>
      <c r="C195" t="s">
        <v>351</v>
      </c>
      <c r="D195" t="s">
        <v>56</v>
      </c>
      <c r="E195">
        <v>2.4</v>
      </c>
      <c r="F195">
        <v>4</v>
      </c>
      <c r="G195" t="s">
        <v>33</v>
      </c>
      <c r="H195" t="s">
        <v>143</v>
      </c>
      <c r="I195">
        <v>9.8000000000000007</v>
      </c>
      <c r="J195">
        <v>7</v>
      </c>
      <c r="K195">
        <v>8.5</v>
      </c>
      <c r="L195">
        <v>33</v>
      </c>
      <c r="M195">
        <v>196</v>
      </c>
      <c r="O195">
        <f t="shared" ref="O195:O258" si="6">M195*E195</f>
        <v>470.4</v>
      </c>
      <c r="P195">
        <f t="shared" ref="P195:P258" si="7">E195*E195</f>
        <v>5.76</v>
      </c>
    </row>
    <row r="196" spans="1:16" x14ac:dyDescent="0.25">
      <c r="A196">
        <v>2014</v>
      </c>
      <c r="B196" t="s">
        <v>342</v>
      </c>
      <c r="C196" t="s">
        <v>357</v>
      </c>
      <c r="D196" t="s">
        <v>15</v>
      </c>
      <c r="E196">
        <v>1.6</v>
      </c>
      <c r="F196">
        <v>4</v>
      </c>
      <c r="G196" t="s">
        <v>18</v>
      </c>
      <c r="H196" t="s">
        <v>143</v>
      </c>
      <c r="I196">
        <v>9.6999999999999993</v>
      </c>
      <c r="J196">
        <v>7.1</v>
      </c>
      <c r="K196">
        <v>8.5</v>
      </c>
      <c r="L196">
        <v>33</v>
      </c>
      <c r="M196">
        <v>196</v>
      </c>
      <c r="O196">
        <f t="shared" si="6"/>
        <v>313.60000000000002</v>
      </c>
      <c r="P196">
        <f t="shared" si="7"/>
        <v>2.5600000000000005</v>
      </c>
    </row>
    <row r="197" spans="1:16" x14ac:dyDescent="0.25">
      <c r="A197">
        <v>2014</v>
      </c>
      <c r="B197" t="s">
        <v>358</v>
      </c>
      <c r="C197" t="s">
        <v>373</v>
      </c>
      <c r="D197" t="s">
        <v>64</v>
      </c>
      <c r="E197">
        <v>2.5</v>
      </c>
      <c r="F197">
        <v>4</v>
      </c>
      <c r="G197" t="s">
        <v>209</v>
      </c>
      <c r="H197" t="s">
        <v>143</v>
      </c>
      <c r="I197">
        <v>8.8000000000000007</v>
      </c>
      <c r="J197">
        <v>8.1999999999999993</v>
      </c>
      <c r="K197">
        <v>8.5</v>
      </c>
      <c r="L197">
        <v>33</v>
      </c>
      <c r="M197">
        <v>196</v>
      </c>
      <c r="O197">
        <f t="shared" si="6"/>
        <v>490</v>
      </c>
      <c r="P197">
        <f t="shared" si="7"/>
        <v>6.25</v>
      </c>
    </row>
    <row r="198" spans="1:16" x14ac:dyDescent="0.25">
      <c r="A198">
        <v>2014</v>
      </c>
      <c r="B198" t="s">
        <v>414</v>
      </c>
      <c r="C198" t="s">
        <v>417</v>
      </c>
      <c r="D198" t="s">
        <v>56</v>
      </c>
      <c r="E198">
        <v>2</v>
      </c>
      <c r="F198">
        <v>4</v>
      </c>
      <c r="G198" t="s">
        <v>18</v>
      </c>
      <c r="H198" t="s">
        <v>143</v>
      </c>
      <c r="I198">
        <v>9.8000000000000007</v>
      </c>
      <c r="J198">
        <v>7</v>
      </c>
      <c r="K198">
        <v>8.5</v>
      </c>
      <c r="L198">
        <v>33</v>
      </c>
      <c r="M198">
        <v>196</v>
      </c>
      <c r="O198">
        <f t="shared" si="6"/>
        <v>392</v>
      </c>
      <c r="P198">
        <f t="shared" si="7"/>
        <v>4</v>
      </c>
    </row>
    <row r="199" spans="1:16" x14ac:dyDescent="0.25">
      <c r="A199">
        <v>2014</v>
      </c>
      <c r="B199" t="s">
        <v>490</v>
      </c>
      <c r="C199" t="s">
        <v>492</v>
      </c>
      <c r="D199" t="s">
        <v>22</v>
      </c>
      <c r="E199">
        <v>2</v>
      </c>
      <c r="F199">
        <v>4</v>
      </c>
      <c r="G199" t="s">
        <v>23</v>
      </c>
      <c r="H199" t="s">
        <v>143</v>
      </c>
      <c r="I199">
        <v>9.3000000000000007</v>
      </c>
      <c r="J199">
        <v>7.6</v>
      </c>
      <c r="K199">
        <v>8.5</v>
      </c>
      <c r="L199">
        <v>33</v>
      </c>
      <c r="M199">
        <v>196</v>
      </c>
      <c r="O199">
        <f t="shared" si="6"/>
        <v>392</v>
      </c>
      <c r="P199">
        <f t="shared" si="7"/>
        <v>4</v>
      </c>
    </row>
    <row r="200" spans="1:16" x14ac:dyDescent="0.25">
      <c r="A200">
        <v>2014</v>
      </c>
      <c r="B200" t="s">
        <v>506</v>
      </c>
      <c r="C200" t="s">
        <v>545</v>
      </c>
      <c r="D200" t="s">
        <v>22</v>
      </c>
      <c r="E200">
        <v>2.1</v>
      </c>
      <c r="F200">
        <v>4</v>
      </c>
      <c r="G200" t="s">
        <v>360</v>
      </c>
      <c r="H200" t="s">
        <v>50</v>
      </c>
      <c r="I200">
        <v>9.6</v>
      </c>
      <c r="J200">
        <v>7.1</v>
      </c>
      <c r="K200">
        <v>8.5</v>
      </c>
      <c r="L200">
        <v>33</v>
      </c>
      <c r="M200">
        <v>230</v>
      </c>
      <c r="O200">
        <f t="shared" si="6"/>
        <v>483</v>
      </c>
      <c r="P200">
        <f t="shared" si="7"/>
        <v>4.41</v>
      </c>
    </row>
    <row r="201" spans="1:16" x14ac:dyDescent="0.25">
      <c r="A201">
        <v>2014</v>
      </c>
      <c r="B201" t="s">
        <v>563</v>
      </c>
      <c r="C201" t="s">
        <v>572</v>
      </c>
      <c r="D201" t="s">
        <v>15</v>
      </c>
      <c r="E201">
        <v>1.6</v>
      </c>
      <c r="F201">
        <v>4</v>
      </c>
      <c r="G201" t="s">
        <v>18</v>
      </c>
      <c r="H201" t="s">
        <v>17</v>
      </c>
      <c r="I201">
        <v>9.3000000000000007</v>
      </c>
      <c r="J201">
        <v>7.5</v>
      </c>
      <c r="K201">
        <v>8.5</v>
      </c>
      <c r="L201">
        <v>33</v>
      </c>
      <c r="M201">
        <v>196</v>
      </c>
      <c r="O201">
        <f t="shared" si="6"/>
        <v>313.60000000000002</v>
      </c>
      <c r="P201">
        <f t="shared" si="7"/>
        <v>2.5600000000000005</v>
      </c>
    </row>
    <row r="202" spans="1:16" x14ac:dyDescent="0.25">
      <c r="A202">
        <v>2014</v>
      </c>
      <c r="B202" t="s">
        <v>563</v>
      </c>
      <c r="C202" t="s">
        <v>574</v>
      </c>
      <c r="D202" t="s">
        <v>15</v>
      </c>
      <c r="E202">
        <v>1.6</v>
      </c>
      <c r="F202">
        <v>4</v>
      </c>
      <c r="G202" t="s">
        <v>18</v>
      </c>
      <c r="H202" t="s">
        <v>17</v>
      </c>
      <c r="I202">
        <v>9.3000000000000007</v>
      </c>
      <c r="J202">
        <v>7.5</v>
      </c>
      <c r="K202">
        <v>8.5</v>
      </c>
      <c r="L202">
        <v>33</v>
      </c>
      <c r="M202">
        <v>196</v>
      </c>
      <c r="O202">
        <f t="shared" si="6"/>
        <v>313.60000000000002</v>
      </c>
      <c r="P202">
        <f t="shared" si="7"/>
        <v>2.5600000000000005</v>
      </c>
    </row>
    <row r="203" spans="1:16" x14ac:dyDescent="0.25">
      <c r="A203">
        <v>2014</v>
      </c>
      <c r="B203" t="s">
        <v>563</v>
      </c>
      <c r="C203" t="s">
        <v>578</v>
      </c>
      <c r="D203" t="s">
        <v>15</v>
      </c>
      <c r="E203">
        <v>1.6</v>
      </c>
      <c r="F203">
        <v>4</v>
      </c>
      <c r="G203" t="s">
        <v>18</v>
      </c>
      <c r="H203" t="s">
        <v>17</v>
      </c>
      <c r="I203">
        <v>9.3000000000000007</v>
      </c>
      <c r="J203">
        <v>7.5</v>
      </c>
      <c r="K203">
        <v>8.5</v>
      </c>
      <c r="L203">
        <v>33</v>
      </c>
      <c r="M203">
        <v>196</v>
      </c>
      <c r="O203">
        <f t="shared" si="6"/>
        <v>313.60000000000002</v>
      </c>
      <c r="P203">
        <f t="shared" si="7"/>
        <v>2.5600000000000005</v>
      </c>
    </row>
    <row r="204" spans="1:16" x14ac:dyDescent="0.25">
      <c r="A204">
        <v>2014</v>
      </c>
      <c r="B204" t="s">
        <v>563</v>
      </c>
      <c r="C204" t="s">
        <v>580</v>
      </c>
      <c r="D204" t="s">
        <v>15</v>
      </c>
      <c r="E204">
        <v>1.6</v>
      </c>
      <c r="F204">
        <v>4</v>
      </c>
      <c r="G204" t="s">
        <v>18</v>
      </c>
      <c r="H204" t="s">
        <v>17</v>
      </c>
      <c r="I204">
        <v>9.3000000000000007</v>
      </c>
      <c r="J204">
        <v>7.5</v>
      </c>
      <c r="K204">
        <v>8.5</v>
      </c>
      <c r="L204">
        <v>33</v>
      </c>
      <c r="M204">
        <v>196</v>
      </c>
      <c r="O204">
        <f t="shared" si="6"/>
        <v>313.60000000000002</v>
      </c>
      <c r="P204">
        <f t="shared" si="7"/>
        <v>2.5600000000000005</v>
      </c>
    </row>
    <row r="205" spans="1:16" x14ac:dyDescent="0.25">
      <c r="A205">
        <v>2014</v>
      </c>
      <c r="B205" t="s">
        <v>681</v>
      </c>
      <c r="C205" t="s">
        <v>682</v>
      </c>
      <c r="D205" t="s">
        <v>32</v>
      </c>
      <c r="E205">
        <v>2</v>
      </c>
      <c r="F205">
        <v>4</v>
      </c>
      <c r="G205" t="s">
        <v>23</v>
      </c>
      <c r="H205" t="s">
        <v>17</v>
      </c>
      <c r="I205">
        <v>9.6</v>
      </c>
      <c r="J205">
        <v>7.1</v>
      </c>
      <c r="K205">
        <v>8.5</v>
      </c>
      <c r="L205">
        <v>33</v>
      </c>
      <c r="M205">
        <v>196</v>
      </c>
      <c r="O205">
        <f t="shared" si="6"/>
        <v>392</v>
      </c>
      <c r="P205">
        <f t="shared" si="7"/>
        <v>4</v>
      </c>
    </row>
    <row r="206" spans="1:16" x14ac:dyDescent="0.25">
      <c r="A206">
        <v>2014</v>
      </c>
      <c r="B206" t="s">
        <v>681</v>
      </c>
      <c r="C206" t="s">
        <v>684</v>
      </c>
      <c r="D206" t="s">
        <v>15</v>
      </c>
      <c r="E206">
        <v>2</v>
      </c>
      <c r="F206">
        <v>4</v>
      </c>
      <c r="G206" t="s">
        <v>126</v>
      </c>
      <c r="H206" t="s">
        <v>143</v>
      </c>
      <c r="I206">
        <v>9.6</v>
      </c>
      <c r="J206">
        <v>7.1</v>
      </c>
      <c r="K206">
        <v>8.5</v>
      </c>
      <c r="L206">
        <v>33</v>
      </c>
      <c r="M206">
        <v>196</v>
      </c>
      <c r="O206">
        <f t="shared" si="6"/>
        <v>392</v>
      </c>
      <c r="P206">
        <f t="shared" si="7"/>
        <v>4</v>
      </c>
    </row>
    <row r="207" spans="1:16" x14ac:dyDescent="0.25">
      <c r="A207">
        <v>2014</v>
      </c>
      <c r="B207" t="s">
        <v>681</v>
      </c>
      <c r="C207" t="s">
        <v>685</v>
      </c>
      <c r="D207" t="s">
        <v>59</v>
      </c>
      <c r="E207">
        <v>2</v>
      </c>
      <c r="F207">
        <v>4</v>
      </c>
      <c r="G207" t="s">
        <v>126</v>
      </c>
      <c r="H207" t="s">
        <v>143</v>
      </c>
      <c r="I207">
        <v>9.6</v>
      </c>
      <c r="J207">
        <v>7.1</v>
      </c>
      <c r="K207">
        <v>8.5</v>
      </c>
      <c r="L207">
        <v>33</v>
      </c>
      <c r="M207">
        <v>196</v>
      </c>
      <c r="O207">
        <f t="shared" si="6"/>
        <v>392</v>
      </c>
      <c r="P207">
        <f t="shared" si="7"/>
        <v>4</v>
      </c>
    </row>
    <row r="208" spans="1:16" x14ac:dyDescent="0.25">
      <c r="A208">
        <v>2014</v>
      </c>
      <c r="B208" t="s">
        <v>681</v>
      </c>
      <c r="C208" t="s">
        <v>689</v>
      </c>
      <c r="D208" t="s">
        <v>22</v>
      </c>
      <c r="E208">
        <v>2</v>
      </c>
      <c r="F208">
        <v>4</v>
      </c>
      <c r="G208" t="s">
        <v>209</v>
      </c>
      <c r="H208" t="s">
        <v>143</v>
      </c>
      <c r="I208">
        <v>9.5</v>
      </c>
      <c r="J208">
        <v>7.2</v>
      </c>
      <c r="K208">
        <v>8.5</v>
      </c>
      <c r="L208">
        <v>33</v>
      </c>
      <c r="M208">
        <v>196</v>
      </c>
      <c r="O208">
        <f t="shared" si="6"/>
        <v>392</v>
      </c>
      <c r="P208">
        <f t="shared" si="7"/>
        <v>4</v>
      </c>
    </row>
    <row r="209" spans="1:16" x14ac:dyDescent="0.25">
      <c r="A209">
        <v>2014</v>
      </c>
      <c r="B209" t="s">
        <v>691</v>
      </c>
      <c r="C209" t="s">
        <v>701</v>
      </c>
      <c r="D209" t="s">
        <v>59</v>
      </c>
      <c r="E209">
        <v>1.8</v>
      </c>
      <c r="F209">
        <v>4</v>
      </c>
      <c r="G209" t="s">
        <v>42</v>
      </c>
      <c r="H209" t="s">
        <v>143</v>
      </c>
      <c r="I209">
        <v>9.4</v>
      </c>
      <c r="J209">
        <v>7.5</v>
      </c>
      <c r="K209">
        <v>8.5</v>
      </c>
      <c r="L209">
        <v>33</v>
      </c>
      <c r="M209">
        <v>196</v>
      </c>
      <c r="O209">
        <f t="shared" si="6"/>
        <v>352.8</v>
      </c>
      <c r="P209">
        <f t="shared" si="7"/>
        <v>3.24</v>
      </c>
    </row>
    <row r="210" spans="1:16" x14ac:dyDescent="0.25">
      <c r="A210">
        <v>2014</v>
      </c>
      <c r="B210" t="s">
        <v>723</v>
      </c>
      <c r="C210" t="s">
        <v>724</v>
      </c>
      <c r="D210" t="s">
        <v>15</v>
      </c>
      <c r="E210">
        <v>1.8</v>
      </c>
      <c r="F210">
        <v>4</v>
      </c>
      <c r="G210" t="s">
        <v>33</v>
      </c>
      <c r="H210" t="s">
        <v>143</v>
      </c>
      <c r="I210">
        <v>9.5</v>
      </c>
      <c r="J210">
        <v>7.2</v>
      </c>
      <c r="K210">
        <v>8.5</v>
      </c>
      <c r="L210">
        <v>33</v>
      </c>
      <c r="M210">
        <v>196</v>
      </c>
      <c r="O210">
        <f t="shared" si="6"/>
        <v>352.8</v>
      </c>
      <c r="P210">
        <f t="shared" si="7"/>
        <v>3.24</v>
      </c>
    </row>
    <row r="211" spans="1:16" x14ac:dyDescent="0.25">
      <c r="A211">
        <v>2014</v>
      </c>
      <c r="B211" t="s">
        <v>232</v>
      </c>
      <c r="C211" t="s">
        <v>246</v>
      </c>
      <c r="D211" t="s">
        <v>26</v>
      </c>
      <c r="E211">
        <v>2.4</v>
      </c>
      <c r="F211">
        <v>4</v>
      </c>
      <c r="G211" t="s">
        <v>33</v>
      </c>
      <c r="H211" t="s">
        <v>143</v>
      </c>
      <c r="I211">
        <v>10.1</v>
      </c>
      <c r="J211">
        <v>6.8</v>
      </c>
      <c r="K211">
        <v>8.6</v>
      </c>
      <c r="L211">
        <v>33</v>
      </c>
      <c r="M211">
        <v>198</v>
      </c>
      <c r="O211">
        <f t="shared" si="6"/>
        <v>475.2</v>
      </c>
      <c r="P211">
        <f t="shared" si="7"/>
        <v>5.76</v>
      </c>
    </row>
    <row r="212" spans="1:16" x14ac:dyDescent="0.25">
      <c r="A212">
        <v>2014</v>
      </c>
      <c r="B212" t="s">
        <v>232</v>
      </c>
      <c r="C212" t="s">
        <v>247</v>
      </c>
      <c r="D212" t="s">
        <v>26</v>
      </c>
      <c r="E212">
        <v>2</v>
      </c>
      <c r="F212">
        <v>4</v>
      </c>
      <c r="G212" t="s">
        <v>33</v>
      </c>
      <c r="H212" t="s">
        <v>143</v>
      </c>
      <c r="I212">
        <v>9.9</v>
      </c>
      <c r="J212">
        <v>7</v>
      </c>
      <c r="K212">
        <v>8.6</v>
      </c>
      <c r="L212">
        <v>33</v>
      </c>
      <c r="M212">
        <v>198</v>
      </c>
      <c r="O212">
        <f t="shared" si="6"/>
        <v>396</v>
      </c>
      <c r="P212">
        <f t="shared" si="7"/>
        <v>4</v>
      </c>
    </row>
    <row r="213" spans="1:16" x14ac:dyDescent="0.25">
      <c r="A213">
        <v>2014</v>
      </c>
      <c r="B213" t="s">
        <v>342</v>
      </c>
      <c r="C213" t="s">
        <v>344</v>
      </c>
      <c r="D213" t="s">
        <v>26</v>
      </c>
      <c r="E213">
        <v>2</v>
      </c>
      <c r="F213">
        <v>4</v>
      </c>
      <c r="G213" t="s">
        <v>33</v>
      </c>
      <c r="H213" t="s">
        <v>143</v>
      </c>
      <c r="I213">
        <v>9.8000000000000007</v>
      </c>
      <c r="J213">
        <v>7.2</v>
      </c>
      <c r="K213">
        <v>8.6</v>
      </c>
      <c r="L213">
        <v>33</v>
      </c>
      <c r="M213">
        <v>198</v>
      </c>
      <c r="O213">
        <f t="shared" si="6"/>
        <v>396</v>
      </c>
      <c r="P213">
        <f t="shared" si="7"/>
        <v>4</v>
      </c>
    </row>
    <row r="214" spans="1:16" x14ac:dyDescent="0.25">
      <c r="A214">
        <v>2014</v>
      </c>
      <c r="B214" t="s">
        <v>414</v>
      </c>
      <c r="C214" t="s">
        <v>418</v>
      </c>
      <c r="D214" t="s">
        <v>15</v>
      </c>
      <c r="E214">
        <v>2</v>
      </c>
      <c r="F214">
        <v>4</v>
      </c>
      <c r="G214" t="s">
        <v>18</v>
      </c>
      <c r="H214" t="s">
        <v>143</v>
      </c>
      <c r="I214">
        <v>9.8000000000000007</v>
      </c>
      <c r="J214">
        <v>7.2</v>
      </c>
      <c r="K214">
        <v>8.6</v>
      </c>
      <c r="L214">
        <v>33</v>
      </c>
      <c r="M214">
        <v>198</v>
      </c>
      <c r="O214">
        <f t="shared" si="6"/>
        <v>396</v>
      </c>
      <c r="P214">
        <f t="shared" si="7"/>
        <v>4</v>
      </c>
    </row>
    <row r="215" spans="1:16" x14ac:dyDescent="0.25">
      <c r="A215">
        <v>2014</v>
      </c>
      <c r="B215" t="s">
        <v>490</v>
      </c>
      <c r="C215" t="s">
        <v>491</v>
      </c>
      <c r="D215" t="s">
        <v>22</v>
      </c>
      <c r="E215">
        <v>2.5</v>
      </c>
      <c r="F215">
        <v>4</v>
      </c>
      <c r="G215" t="s">
        <v>23</v>
      </c>
      <c r="H215" t="s">
        <v>143</v>
      </c>
      <c r="I215">
        <v>9.6</v>
      </c>
      <c r="J215">
        <v>7.4</v>
      </c>
      <c r="K215">
        <v>8.6</v>
      </c>
      <c r="L215">
        <v>33</v>
      </c>
      <c r="M215">
        <v>198</v>
      </c>
      <c r="O215">
        <f t="shared" si="6"/>
        <v>495</v>
      </c>
      <c r="P215">
        <f t="shared" si="7"/>
        <v>6.25</v>
      </c>
    </row>
    <row r="216" spans="1:16" x14ac:dyDescent="0.25">
      <c r="A216">
        <v>2014</v>
      </c>
      <c r="B216" t="s">
        <v>582</v>
      </c>
      <c r="C216" t="s">
        <v>587</v>
      </c>
      <c r="D216" t="s">
        <v>59</v>
      </c>
      <c r="E216">
        <v>2</v>
      </c>
      <c r="F216">
        <v>4</v>
      </c>
      <c r="G216" t="s">
        <v>453</v>
      </c>
      <c r="H216" t="s">
        <v>143</v>
      </c>
      <c r="I216">
        <v>9.6</v>
      </c>
      <c r="J216">
        <v>7.3</v>
      </c>
      <c r="K216">
        <v>8.6</v>
      </c>
      <c r="L216">
        <v>33</v>
      </c>
      <c r="M216">
        <v>198</v>
      </c>
      <c r="O216">
        <f t="shared" si="6"/>
        <v>396</v>
      </c>
      <c r="P216">
        <f t="shared" si="7"/>
        <v>4</v>
      </c>
    </row>
    <row r="217" spans="1:16" x14ac:dyDescent="0.25">
      <c r="A217">
        <v>2014</v>
      </c>
      <c r="B217" t="s">
        <v>582</v>
      </c>
      <c r="C217" t="s">
        <v>587</v>
      </c>
      <c r="D217" t="s">
        <v>59</v>
      </c>
      <c r="E217">
        <v>2</v>
      </c>
      <c r="F217">
        <v>4</v>
      </c>
      <c r="G217" t="s">
        <v>126</v>
      </c>
      <c r="H217" t="s">
        <v>143</v>
      </c>
      <c r="I217">
        <v>9.8000000000000007</v>
      </c>
      <c r="J217">
        <v>7.1</v>
      </c>
      <c r="K217">
        <v>8.6</v>
      </c>
      <c r="L217">
        <v>33</v>
      </c>
      <c r="M217">
        <v>198</v>
      </c>
      <c r="O217">
        <f t="shared" si="6"/>
        <v>396</v>
      </c>
      <c r="P217">
        <f t="shared" si="7"/>
        <v>4</v>
      </c>
    </row>
    <row r="218" spans="1:16" x14ac:dyDescent="0.25">
      <c r="A218">
        <v>2014</v>
      </c>
      <c r="B218" t="s">
        <v>582</v>
      </c>
      <c r="C218" t="s">
        <v>589</v>
      </c>
      <c r="D218" t="s">
        <v>22</v>
      </c>
      <c r="E218">
        <v>2.4</v>
      </c>
      <c r="F218">
        <v>4</v>
      </c>
      <c r="G218" t="s">
        <v>453</v>
      </c>
      <c r="H218" t="s">
        <v>143</v>
      </c>
      <c r="I218">
        <v>9.5</v>
      </c>
      <c r="J218">
        <v>7.5</v>
      </c>
      <c r="K218">
        <v>8.6</v>
      </c>
      <c r="L218">
        <v>33</v>
      </c>
      <c r="M218">
        <v>198</v>
      </c>
      <c r="O218">
        <f t="shared" si="6"/>
        <v>475.2</v>
      </c>
      <c r="P218">
        <f t="shared" si="7"/>
        <v>5.76</v>
      </c>
    </row>
    <row r="219" spans="1:16" x14ac:dyDescent="0.25">
      <c r="A219">
        <v>2014</v>
      </c>
      <c r="B219" t="s">
        <v>593</v>
      </c>
      <c r="C219" t="s">
        <v>602</v>
      </c>
      <c r="D219" t="s">
        <v>59</v>
      </c>
      <c r="E219">
        <v>1.6</v>
      </c>
      <c r="F219">
        <v>4</v>
      </c>
      <c r="G219" t="s">
        <v>18</v>
      </c>
      <c r="H219" t="s">
        <v>17</v>
      </c>
      <c r="I219">
        <v>9.5</v>
      </c>
      <c r="J219">
        <v>7.6</v>
      </c>
      <c r="K219">
        <v>8.6</v>
      </c>
      <c r="L219">
        <v>33</v>
      </c>
      <c r="M219">
        <v>198</v>
      </c>
      <c r="O219">
        <f t="shared" si="6"/>
        <v>316.8</v>
      </c>
      <c r="P219">
        <f t="shared" si="7"/>
        <v>2.5600000000000005</v>
      </c>
    </row>
    <row r="220" spans="1:16" x14ac:dyDescent="0.25">
      <c r="A220">
        <v>2014</v>
      </c>
      <c r="B220" t="s">
        <v>593</v>
      </c>
      <c r="C220" t="s">
        <v>612</v>
      </c>
      <c r="D220" t="s">
        <v>22</v>
      </c>
      <c r="E220">
        <v>2.5</v>
      </c>
      <c r="F220">
        <v>4</v>
      </c>
      <c r="G220" t="s">
        <v>209</v>
      </c>
      <c r="H220" t="s">
        <v>143</v>
      </c>
      <c r="I220">
        <v>9.5</v>
      </c>
      <c r="J220">
        <v>7.4</v>
      </c>
      <c r="K220">
        <v>8.6</v>
      </c>
      <c r="L220">
        <v>33</v>
      </c>
      <c r="M220">
        <v>198</v>
      </c>
      <c r="O220">
        <f t="shared" si="6"/>
        <v>495</v>
      </c>
      <c r="P220">
        <f t="shared" si="7"/>
        <v>6.25</v>
      </c>
    </row>
    <row r="221" spans="1:16" x14ac:dyDescent="0.25">
      <c r="A221">
        <v>2014</v>
      </c>
      <c r="B221" t="s">
        <v>681</v>
      </c>
      <c r="C221" t="s">
        <v>683</v>
      </c>
      <c r="D221" t="s">
        <v>22</v>
      </c>
      <c r="E221">
        <v>2.5</v>
      </c>
      <c r="F221">
        <v>4</v>
      </c>
      <c r="G221" t="s">
        <v>209</v>
      </c>
      <c r="H221" t="s">
        <v>143</v>
      </c>
      <c r="I221">
        <v>9.6</v>
      </c>
      <c r="J221">
        <v>7.4</v>
      </c>
      <c r="K221">
        <v>8.6</v>
      </c>
      <c r="L221">
        <v>33</v>
      </c>
      <c r="M221">
        <v>198</v>
      </c>
      <c r="O221">
        <f t="shared" si="6"/>
        <v>495</v>
      </c>
      <c r="P221">
        <f t="shared" si="7"/>
        <v>6.25</v>
      </c>
    </row>
    <row r="222" spans="1:16" x14ac:dyDescent="0.25">
      <c r="A222">
        <v>2014</v>
      </c>
      <c r="B222" t="s">
        <v>681</v>
      </c>
      <c r="C222" t="s">
        <v>686</v>
      </c>
      <c r="D222" t="s">
        <v>26</v>
      </c>
      <c r="E222">
        <v>2.5</v>
      </c>
      <c r="F222">
        <v>4</v>
      </c>
      <c r="G222" t="s">
        <v>209</v>
      </c>
      <c r="H222" t="s">
        <v>143</v>
      </c>
      <c r="I222">
        <v>9.6999999999999993</v>
      </c>
      <c r="J222">
        <v>7.3</v>
      </c>
      <c r="K222">
        <v>8.6</v>
      </c>
      <c r="L222">
        <v>33</v>
      </c>
      <c r="M222">
        <v>198</v>
      </c>
      <c r="O222">
        <f t="shared" si="6"/>
        <v>495</v>
      </c>
      <c r="P222">
        <f t="shared" si="7"/>
        <v>6.25</v>
      </c>
    </row>
    <row r="223" spans="1:16" x14ac:dyDescent="0.25">
      <c r="A223">
        <v>2014</v>
      </c>
      <c r="B223" t="s">
        <v>723</v>
      </c>
      <c r="C223" t="s">
        <v>736</v>
      </c>
      <c r="D223" t="s">
        <v>26</v>
      </c>
      <c r="E223">
        <v>1.8</v>
      </c>
      <c r="F223">
        <v>4</v>
      </c>
      <c r="G223" t="s">
        <v>33</v>
      </c>
      <c r="H223" t="s">
        <v>143</v>
      </c>
      <c r="I223">
        <v>9.9</v>
      </c>
      <c r="J223">
        <v>6.9</v>
      </c>
      <c r="K223">
        <v>8.6</v>
      </c>
      <c r="L223">
        <v>33</v>
      </c>
      <c r="M223">
        <v>198</v>
      </c>
      <c r="O223">
        <f t="shared" si="6"/>
        <v>356.40000000000003</v>
      </c>
      <c r="P223">
        <f t="shared" si="7"/>
        <v>3.24</v>
      </c>
    </row>
    <row r="224" spans="1:16" x14ac:dyDescent="0.25">
      <c r="A224">
        <v>2014</v>
      </c>
      <c r="B224" t="s">
        <v>723</v>
      </c>
      <c r="C224" t="s">
        <v>736</v>
      </c>
      <c r="D224" t="s">
        <v>26</v>
      </c>
      <c r="E224">
        <v>1.8</v>
      </c>
      <c r="F224">
        <v>4</v>
      </c>
      <c r="G224" t="s">
        <v>126</v>
      </c>
      <c r="H224" t="s">
        <v>143</v>
      </c>
      <c r="I224">
        <v>10</v>
      </c>
      <c r="J224">
        <v>6.9</v>
      </c>
      <c r="K224">
        <v>8.6</v>
      </c>
      <c r="L224">
        <v>33</v>
      </c>
      <c r="M224">
        <v>198</v>
      </c>
      <c r="O224">
        <f t="shared" si="6"/>
        <v>356.40000000000003</v>
      </c>
      <c r="P224">
        <f t="shared" si="7"/>
        <v>3.24</v>
      </c>
    </row>
    <row r="225" spans="1:16" x14ac:dyDescent="0.25">
      <c r="A225">
        <v>2014</v>
      </c>
      <c r="B225" t="s">
        <v>90</v>
      </c>
      <c r="C225" t="s">
        <v>91</v>
      </c>
      <c r="D225" t="s">
        <v>15</v>
      </c>
      <c r="E225">
        <v>2</v>
      </c>
      <c r="F225">
        <v>4</v>
      </c>
      <c r="G225" t="s">
        <v>18</v>
      </c>
      <c r="H225" t="s">
        <v>17</v>
      </c>
      <c r="I225">
        <v>10.4</v>
      </c>
      <c r="J225">
        <v>6.7</v>
      </c>
      <c r="K225">
        <v>8.6999999999999993</v>
      </c>
      <c r="L225">
        <v>32</v>
      </c>
      <c r="M225">
        <v>200</v>
      </c>
      <c r="O225">
        <f t="shared" si="6"/>
        <v>400</v>
      </c>
      <c r="P225">
        <f t="shared" si="7"/>
        <v>4</v>
      </c>
    </row>
    <row r="226" spans="1:16" x14ac:dyDescent="0.25">
      <c r="A226">
        <v>2014</v>
      </c>
      <c r="B226" t="s">
        <v>90</v>
      </c>
      <c r="C226" t="s">
        <v>95</v>
      </c>
      <c r="D226" t="s">
        <v>15</v>
      </c>
      <c r="E226">
        <v>2</v>
      </c>
      <c r="F226">
        <v>4</v>
      </c>
      <c r="G226" t="s">
        <v>18</v>
      </c>
      <c r="H226" t="s">
        <v>17</v>
      </c>
      <c r="I226">
        <v>10.4</v>
      </c>
      <c r="J226">
        <v>6.7</v>
      </c>
      <c r="K226">
        <v>8.6999999999999993</v>
      </c>
      <c r="L226">
        <v>32</v>
      </c>
      <c r="M226">
        <v>200</v>
      </c>
      <c r="O226">
        <f t="shared" si="6"/>
        <v>400</v>
      </c>
      <c r="P226">
        <f t="shared" si="7"/>
        <v>4</v>
      </c>
    </row>
    <row r="227" spans="1:16" x14ac:dyDescent="0.25">
      <c r="A227">
        <v>2014</v>
      </c>
      <c r="B227" t="s">
        <v>90</v>
      </c>
      <c r="C227" t="s">
        <v>102</v>
      </c>
      <c r="D227" t="s">
        <v>15</v>
      </c>
      <c r="E227">
        <v>2</v>
      </c>
      <c r="F227">
        <v>4</v>
      </c>
      <c r="G227" t="s">
        <v>18</v>
      </c>
      <c r="H227" t="s">
        <v>17</v>
      </c>
      <c r="I227">
        <v>10.4</v>
      </c>
      <c r="J227">
        <v>6.7</v>
      </c>
      <c r="K227">
        <v>8.6999999999999993</v>
      </c>
      <c r="L227">
        <v>32</v>
      </c>
      <c r="M227">
        <v>200</v>
      </c>
      <c r="O227">
        <f t="shared" si="6"/>
        <v>400</v>
      </c>
      <c r="P227">
        <f t="shared" si="7"/>
        <v>4</v>
      </c>
    </row>
    <row r="228" spans="1:16" x14ac:dyDescent="0.25">
      <c r="A228">
        <v>2014</v>
      </c>
      <c r="B228" t="s">
        <v>90</v>
      </c>
      <c r="C228" t="s">
        <v>138</v>
      </c>
      <c r="D228" t="s">
        <v>37</v>
      </c>
      <c r="E228">
        <v>2</v>
      </c>
      <c r="F228">
        <v>4</v>
      </c>
      <c r="G228" t="s">
        <v>18</v>
      </c>
      <c r="H228" t="s">
        <v>17</v>
      </c>
      <c r="I228">
        <v>10.4</v>
      </c>
      <c r="J228">
        <v>6.7</v>
      </c>
      <c r="K228">
        <v>8.6999999999999993</v>
      </c>
      <c r="L228">
        <v>32</v>
      </c>
      <c r="M228">
        <v>200</v>
      </c>
      <c r="O228">
        <f t="shared" si="6"/>
        <v>400</v>
      </c>
      <c r="P228">
        <f t="shared" si="7"/>
        <v>4</v>
      </c>
    </row>
    <row r="229" spans="1:16" x14ac:dyDescent="0.25">
      <c r="A229">
        <v>2014</v>
      </c>
      <c r="B229" t="s">
        <v>175</v>
      </c>
      <c r="C229" t="s">
        <v>198</v>
      </c>
      <c r="D229" t="s">
        <v>56</v>
      </c>
      <c r="E229">
        <v>2.4</v>
      </c>
      <c r="F229">
        <v>4</v>
      </c>
      <c r="G229" t="s">
        <v>23</v>
      </c>
      <c r="H229" t="s">
        <v>143</v>
      </c>
      <c r="I229">
        <v>10</v>
      </c>
      <c r="J229">
        <v>7</v>
      </c>
      <c r="K229">
        <v>8.6999999999999993</v>
      </c>
      <c r="L229">
        <v>32</v>
      </c>
      <c r="M229">
        <v>200</v>
      </c>
      <c r="O229">
        <f t="shared" si="6"/>
        <v>480</v>
      </c>
      <c r="P229">
        <f t="shared" si="7"/>
        <v>5.76</v>
      </c>
    </row>
    <row r="230" spans="1:16" x14ac:dyDescent="0.25">
      <c r="A230">
        <v>2014</v>
      </c>
      <c r="B230" t="s">
        <v>257</v>
      </c>
      <c r="C230" t="s">
        <v>264</v>
      </c>
      <c r="D230" t="s">
        <v>59</v>
      </c>
      <c r="E230">
        <v>1.4</v>
      </c>
      <c r="F230">
        <v>4</v>
      </c>
      <c r="G230" t="s">
        <v>250</v>
      </c>
      <c r="H230" t="s">
        <v>143</v>
      </c>
      <c r="I230">
        <v>10</v>
      </c>
      <c r="J230">
        <v>7.2</v>
      </c>
      <c r="K230">
        <v>8.6999999999999993</v>
      </c>
      <c r="L230">
        <v>32</v>
      </c>
      <c r="M230">
        <v>200</v>
      </c>
      <c r="O230">
        <f t="shared" si="6"/>
        <v>280</v>
      </c>
      <c r="P230">
        <f t="shared" si="7"/>
        <v>1.9599999999999997</v>
      </c>
    </row>
    <row r="231" spans="1:16" x14ac:dyDescent="0.25">
      <c r="A231">
        <v>2014</v>
      </c>
      <c r="B231" t="s">
        <v>329</v>
      </c>
      <c r="C231" t="s">
        <v>330</v>
      </c>
      <c r="D231" t="s">
        <v>26</v>
      </c>
      <c r="E231">
        <v>2.4</v>
      </c>
      <c r="F231">
        <v>4</v>
      </c>
      <c r="G231" t="s">
        <v>18</v>
      </c>
      <c r="H231" t="s">
        <v>143</v>
      </c>
      <c r="I231">
        <v>10.1</v>
      </c>
      <c r="J231">
        <v>6.9</v>
      </c>
      <c r="K231">
        <v>8.6999999999999993</v>
      </c>
      <c r="L231">
        <v>32</v>
      </c>
      <c r="M231">
        <v>200</v>
      </c>
      <c r="O231">
        <f t="shared" si="6"/>
        <v>480</v>
      </c>
      <c r="P231">
        <f t="shared" si="7"/>
        <v>5.76</v>
      </c>
    </row>
    <row r="232" spans="1:16" x14ac:dyDescent="0.25">
      <c r="A232">
        <v>2014</v>
      </c>
      <c r="B232" t="s">
        <v>414</v>
      </c>
      <c r="C232" t="s">
        <v>419</v>
      </c>
      <c r="D232" t="s">
        <v>26</v>
      </c>
      <c r="E232">
        <v>2.4</v>
      </c>
      <c r="F232">
        <v>4</v>
      </c>
      <c r="G232" t="s">
        <v>33</v>
      </c>
      <c r="H232" t="s">
        <v>143</v>
      </c>
      <c r="I232">
        <v>10.199999999999999</v>
      </c>
      <c r="J232">
        <v>6.8</v>
      </c>
      <c r="K232">
        <v>8.6999999999999993</v>
      </c>
      <c r="L232">
        <v>32</v>
      </c>
      <c r="M232">
        <v>200</v>
      </c>
      <c r="O232">
        <f t="shared" si="6"/>
        <v>480</v>
      </c>
      <c r="P232">
        <f t="shared" si="7"/>
        <v>5.76</v>
      </c>
    </row>
    <row r="233" spans="1:16" x14ac:dyDescent="0.25">
      <c r="A233">
        <v>2014</v>
      </c>
      <c r="B233" t="s">
        <v>563</v>
      </c>
      <c r="C233" t="s">
        <v>566</v>
      </c>
      <c r="D233" t="s">
        <v>15</v>
      </c>
      <c r="E233">
        <v>1.6</v>
      </c>
      <c r="F233">
        <v>4</v>
      </c>
      <c r="G233" t="s">
        <v>33</v>
      </c>
      <c r="H233" t="s">
        <v>17</v>
      </c>
      <c r="I233">
        <v>9.4</v>
      </c>
      <c r="J233">
        <v>7.9</v>
      </c>
      <c r="K233">
        <v>8.6999999999999993</v>
      </c>
      <c r="L233">
        <v>32</v>
      </c>
      <c r="M233">
        <v>200</v>
      </c>
      <c r="O233">
        <f t="shared" si="6"/>
        <v>320</v>
      </c>
      <c r="P233">
        <f t="shared" si="7"/>
        <v>2.5600000000000005</v>
      </c>
    </row>
    <row r="234" spans="1:16" x14ac:dyDescent="0.25">
      <c r="A234">
        <v>2014</v>
      </c>
      <c r="B234" t="s">
        <v>563</v>
      </c>
      <c r="C234" t="s">
        <v>568</v>
      </c>
      <c r="D234" t="s">
        <v>15</v>
      </c>
      <c r="E234">
        <v>1.6</v>
      </c>
      <c r="F234">
        <v>4</v>
      </c>
      <c r="G234" t="s">
        <v>33</v>
      </c>
      <c r="H234" t="s">
        <v>17</v>
      </c>
      <c r="I234">
        <v>9.4</v>
      </c>
      <c r="J234">
        <v>7.9</v>
      </c>
      <c r="K234">
        <v>8.6999999999999993</v>
      </c>
      <c r="L234">
        <v>32</v>
      </c>
      <c r="M234">
        <v>200</v>
      </c>
      <c r="O234">
        <f t="shared" si="6"/>
        <v>320</v>
      </c>
      <c r="P234">
        <f t="shared" si="7"/>
        <v>2.5600000000000005</v>
      </c>
    </row>
    <row r="235" spans="1:16" x14ac:dyDescent="0.25">
      <c r="A235">
        <v>2014</v>
      </c>
      <c r="B235" t="s">
        <v>582</v>
      </c>
      <c r="C235" t="s">
        <v>591</v>
      </c>
      <c r="D235" t="s">
        <v>22</v>
      </c>
      <c r="E235">
        <v>2</v>
      </c>
      <c r="F235">
        <v>4</v>
      </c>
      <c r="G235" t="s">
        <v>453</v>
      </c>
      <c r="H235" t="s">
        <v>143</v>
      </c>
      <c r="I235">
        <v>9.6</v>
      </c>
      <c r="J235">
        <v>7.6</v>
      </c>
      <c r="K235">
        <v>8.6999999999999993</v>
      </c>
      <c r="L235">
        <v>32</v>
      </c>
      <c r="M235">
        <v>200</v>
      </c>
      <c r="O235">
        <f t="shared" si="6"/>
        <v>400</v>
      </c>
      <c r="P235">
        <f t="shared" si="7"/>
        <v>4</v>
      </c>
    </row>
    <row r="236" spans="1:16" x14ac:dyDescent="0.25">
      <c r="A236">
        <v>2014</v>
      </c>
      <c r="B236" t="s">
        <v>593</v>
      </c>
      <c r="C236" t="s">
        <v>603</v>
      </c>
      <c r="D236" t="s">
        <v>59</v>
      </c>
      <c r="E236">
        <v>1.6</v>
      </c>
      <c r="F236">
        <v>4</v>
      </c>
      <c r="G236" t="s">
        <v>209</v>
      </c>
      <c r="H236" t="s">
        <v>17</v>
      </c>
      <c r="I236">
        <v>9.3000000000000007</v>
      </c>
      <c r="J236">
        <v>7.9</v>
      </c>
      <c r="K236">
        <v>8.6999999999999993</v>
      </c>
      <c r="L236">
        <v>32</v>
      </c>
      <c r="M236">
        <v>200</v>
      </c>
      <c r="O236">
        <f t="shared" si="6"/>
        <v>320</v>
      </c>
      <c r="P236">
        <f t="shared" si="7"/>
        <v>2.5600000000000005</v>
      </c>
    </row>
    <row r="237" spans="1:16" x14ac:dyDescent="0.25">
      <c r="A237">
        <v>2014</v>
      </c>
      <c r="B237" t="s">
        <v>723</v>
      </c>
      <c r="C237" t="s">
        <v>724</v>
      </c>
      <c r="D237" t="s">
        <v>15</v>
      </c>
      <c r="E237">
        <v>1.8</v>
      </c>
      <c r="F237">
        <v>4</v>
      </c>
      <c r="G237" t="s">
        <v>126</v>
      </c>
      <c r="H237" t="s">
        <v>143</v>
      </c>
      <c r="I237">
        <v>9.9</v>
      </c>
      <c r="J237">
        <v>7.2</v>
      </c>
      <c r="K237">
        <v>8.6999999999999993</v>
      </c>
      <c r="L237">
        <v>32</v>
      </c>
      <c r="M237">
        <v>200</v>
      </c>
      <c r="O237">
        <f t="shared" si="6"/>
        <v>360</v>
      </c>
      <c r="P237">
        <f t="shared" si="7"/>
        <v>3.24</v>
      </c>
    </row>
    <row r="238" spans="1:16" x14ac:dyDescent="0.25">
      <c r="A238">
        <v>2014</v>
      </c>
      <c r="B238" t="s">
        <v>723</v>
      </c>
      <c r="C238" t="s">
        <v>725</v>
      </c>
      <c r="D238" t="s">
        <v>35</v>
      </c>
      <c r="E238">
        <v>1.8</v>
      </c>
      <c r="F238">
        <v>4</v>
      </c>
      <c r="G238" t="s">
        <v>33</v>
      </c>
      <c r="H238" t="s">
        <v>143</v>
      </c>
      <c r="I238">
        <v>9.8000000000000007</v>
      </c>
      <c r="J238">
        <v>7.3</v>
      </c>
      <c r="K238">
        <v>8.6999999999999993</v>
      </c>
      <c r="L238">
        <v>32</v>
      </c>
      <c r="M238">
        <v>200</v>
      </c>
      <c r="O238">
        <f t="shared" si="6"/>
        <v>360</v>
      </c>
      <c r="P238">
        <f t="shared" si="7"/>
        <v>3.24</v>
      </c>
    </row>
    <row r="239" spans="1:16" x14ac:dyDescent="0.25">
      <c r="A239">
        <v>2014</v>
      </c>
      <c r="B239" t="s">
        <v>41</v>
      </c>
      <c r="C239" t="s">
        <v>42</v>
      </c>
      <c r="D239" t="s">
        <v>15</v>
      </c>
      <c r="E239">
        <v>2</v>
      </c>
      <c r="F239">
        <v>4</v>
      </c>
      <c r="G239" t="s">
        <v>43</v>
      </c>
      <c r="H239" t="s">
        <v>17</v>
      </c>
      <c r="I239">
        <v>9.9</v>
      </c>
      <c r="J239">
        <v>7.4</v>
      </c>
      <c r="K239">
        <v>8.8000000000000007</v>
      </c>
      <c r="L239">
        <v>32</v>
      </c>
      <c r="M239">
        <v>202</v>
      </c>
      <c r="O239">
        <f t="shared" si="6"/>
        <v>404</v>
      </c>
      <c r="P239">
        <f t="shared" si="7"/>
        <v>4</v>
      </c>
    </row>
    <row r="240" spans="1:16" x14ac:dyDescent="0.25">
      <c r="A240">
        <v>2014</v>
      </c>
      <c r="B240" t="s">
        <v>90</v>
      </c>
      <c r="C240" t="s">
        <v>92</v>
      </c>
      <c r="D240" t="s">
        <v>15</v>
      </c>
      <c r="E240">
        <v>2</v>
      </c>
      <c r="F240">
        <v>4</v>
      </c>
      <c r="G240" t="s">
        <v>53</v>
      </c>
      <c r="H240" t="s">
        <v>17</v>
      </c>
      <c r="I240">
        <v>10.199999999999999</v>
      </c>
      <c r="J240">
        <v>7</v>
      </c>
      <c r="K240">
        <v>8.8000000000000007</v>
      </c>
      <c r="L240">
        <v>32</v>
      </c>
      <c r="M240">
        <v>202</v>
      </c>
      <c r="O240">
        <f t="shared" si="6"/>
        <v>404</v>
      </c>
      <c r="P240">
        <f t="shared" si="7"/>
        <v>4</v>
      </c>
    </row>
    <row r="241" spans="1:16" x14ac:dyDescent="0.25">
      <c r="A241">
        <v>2014</v>
      </c>
      <c r="B241" t="s">
        <v>90</v>
      </c>
      <c r="C241" t="s">
        <v>106</v>
      </c>
      <c r="D241" t="s">
        <v>26</v>
      </c>
      <c r="E241">
        <v>2</v>
      </c>
      <c r="F241">
        <v>4</v>
      </c>
      <c r="G241" t="s">
        <v>53</v>
      </c>
      <c r="H241" t="s">
        <v>17</v>
      </c>
      <c r="I241">
        <v>10.199999999999999</v>
      </c>
      <c r="J241">
        <v>7</v>
      </c>
      <c r="K241">
        <v>8.8000000000000007</v>
      </c>
      <c r="L241">
        <v>32</v>
      </c>
      <c r="M241">
        <v>202</v>
      </c>
      <c r="O241">
        <f t="shared" si="6"/>
        <v>404</v>
      </c>
      <c r="P241">
        <f t="shared" si="7"/>
        <v>4</v>
      </c>
    </row>
    <row r="242" spans="1:16" x14ac:dyDescent="0.25">
      <c r="A242">
        <v>2014</v>
      </c>
      <c r="B242" t="s">
        <v>175</v>
      </c>
      <c r="C242" t="s">
        <v>182</v>
      </c>
      <c r="D242" t="s">
        <v>26</v>
      </c>
      <c r="E242">
        <v>1.8</v>
      </c>
      <c r="F242">
        <v>4</v>
      </c>
      <c r="G242" t="s">
        <v>23</v>
      </c>
      <c r="H242" t="s">
        <v>143</v>
      </c>
      <c r="I242">
        <v>10.5</v>
      </c>
      <c r="J242">
        <v>6.7</v>
      </c>
      <c r="K242">
        <v>8.8000000000000007</v>
      </c>
      <c r="L242">
        <v>32</v>
      </c>
      <c r="M242">
        <v>202</v>
      </c>
      <c r="O242">
        <f t="shared" si="6"/>
        <v>363.6</v>
      </c>
      <c r="P242">
        <f t="shared" si="7"/>
        <v>3.24</v>
      </c>
    </row>
    <row r="243" spans="1:16" x14ac:dyDescent="0.25">
      <c r="A243">
        <v>2014</v>
      </c>
      <c r="B243" t="s">
        <v>232</v>
      </c>
      <c r="C243" t="s">
        <v>246</v>
      </c>
      <c r="D243" t="s">
        <v>26</v>
      </c>
      <c r="E243">
        <v>2.4</v>
      </c>
      <c r="F243">
        <v>4</v>
      </c>
      <c r="G243" t="s">
        <v>18</v>
      </c>
      <c r="H243" t="s">
        <v>143</v>
      </c>
      <c r="I243">
        <v>10.5</v>
      </c>
      <c r="J243">
        <v>6.7</v>
      </c>
      <c r="K243">
        <v>8.8000000000000007</v>
      </c>
      <c r="L243">
        <v>32</v>
      </c>
      <c r="M243">
        <v>202</v>
      </c>
      <c r="O243">
        <f t="shared" si="6"/>
        <v>484.79999999999995</v>
      </c>
      <c r="P243">
        <f t="shared" si="7"/>
        <v>5.76</v>
      </c>
    </row>
    <row r="244" spans="1:16" x14ac:dyDescent="0.25">
      <c r="A244">
        <v>2014</v>
      </c>
      <c r="B244" t="s">
        <v>232</v>
      </c>
      <c r="C244" t="s">
        <v>248</v>
      </c>
      <c r="D244" t="s">
        <v>26</v>
      </c>
      <c r="E244">
        <v>2.4</v>
      </c>
      <c r="F244">
        <v>4</v>
      </c>
      <c r="G244" t="s">
        <v>18</v>
      </c>
      <c r="H244" t="s">
        <v>143</v>
      </c>
      <c r="I244">
        <v>10.199999999999999</v>
      </c>
      <c r="J244">
        <v>7</v>
      </c>
      <c r="K244">
        <v>8.8000000000000007</v>
      </c>
      <c r="L244">
        <v>32</v>
      </c>
      <c r="M244">
        <v>202</v>
      </c>
      <c r="O244">
        <f t="shared" si="6"/>
        <v>484.79999999999995</v>
      </c>
      <c r="P244">
        <f t="shared" si="7"/>
        <v>5.76</v>
      </c>
    </row>
    <row r="245" spans="1:16" x14ac:dyDescent="0.25">
      <c r="A245">
        <v>2014</v>
      </c>
      <c r="B245" t="s">
        <v>342</v>
      </c>
      <c r="C245" t="s">
        <v>357</v>
      </c>
      <c r="D245" t="s">
        <v>15</v>
      </c>
      <c r="E245">
        <v>1.6</v>
      </c>
      <c r="F245">
        <v>4</v>
      </c>
      <c r="G245" t="s">
        <v>33</v>
      </c>
      <c r="H245" t="s">
        <v>143</v>
      </c>
      <c r="I245">
        <v>9.9</v>
      </c>
      <c r="J245">
        <v>7.5</v>
      </c>
      <c r="K245">
        <v>8.8000000000000007</v>
      </c>
      <c r="L245">
        <v>32</v>
      </c>
      <c r="M245">
        <v>202</v>
      </c>
      <c r="O245">
        <f t="shared" si="6"/>
        <v>323.20000000000005</v>
      </c>
      <c r="P245">
        <f t="shared" si="7"/>
        <v>2.5600000000000005</v>
      </c>
    </row>
    <row r="246" spans="1:16" x14ac:dyDescent="0.25">
      <c r="A246">
        <v>2014</v>
      </c>
      <c r="B246" t="s">
        <v>414</v>
      </c>
      <c r="C246" t="s">
        <v>428</v>
      </c>
      <c r="D246" t="s">
        <v>59</v>
      </c>
      <c r="E246">
        <v>2</v>
      </c>
      <c r="F246">
        <v>4</v>
      </c>
      <c r="G246" t="s">
        <v>33</v>
      </c>
      <c r="H246" t="s">
        <v>143</v>
      </c>
      <c r="I246">
        <v>9.6999999999999993</v>
      </c>
      <c r="J246">
        <v>7.8</v>
      </c>
      <c r="K246">
        <v>8.8000000000000007</v>
      </c>
      <c r="L246">
        <v>32</v>
      </c>
      <c r="M246">
        <v>202</v>
      </c>
      <c r="O246">
        <f t="shared" si="6"/>
        <v>404</v>
      </c>
      <c r="P246">
        <f t="shared" si="7"/>
        <v>4</v>
      </c>
    </row>
    <row r="247" spans="1:16" x14ac:dyDescent="0.25">
      <c r="A247">
        <v>2014</v>
      </c>
      <c r="B247" t="s">
        <v>506</v>
      </c>
      <c r="C247" t="s">
        <v>531</v>
      </c>
      <c r="D247" t="s">
        <v>26</v>
      </c>
      <c r="E247">
        <v>3.5</v>
      </c>
      <c r="F247">
        <v>6</v>
      </c>
      <c r="G247" t="s">
        <v>360</v>
      </c>
      <c r="H247" t="s">
        <v>17</v>
      </c>
      <c r="I247">
        <v>9.6</v>
      </c>
      <c r="J247">
        <v>7.9</v>
      </c>
      <c r="K247">
        <v>8.8000000000000007</v>
      </c>
      <c r="L247">
        <v>32</v>
      </c>
      <c r="M247">
        <v>202</v>
      </c>
      <c r="O247">
        <f t="shared" si="6"/>
        <v>707</v>
      </c>
      <c r="P247">
        <f t="shared" si="7"/>
        <v>12.25</v>
      </c>
    </row>
    <row r="248" spans="1:16" x14ac:dyDescent="0.25">
      <c r="A248">
        <v>2014</v>
      </c>
      <c r="B248" t="s">
        <v>582</v>
      </c>
      <c r="C248" t="s">
        <v>591</v>
      </c>
      <c r="D248" t="s">
        <v>22</v>
      </c>
      <c r="E248">
        <v>2</v>
      </c>
      <c r="F248">
        <v>4</v>
      </c>
      <c r="G248" t="s">
        <v>126</v>
      </c>
      <c r="H248" t="s">
        <v>143</v>
      </c>
      <c r="I248">
        <v>9.9</v>
      </c>
      <c r="J248">
        <v>7.5</v>
      </c>
      <c r="K248">
        <v>8.8000000000000007</v>
      </c>
      <c r="L248">
        <v>32</v>
      </c>
      <c r="M248">
        <v>202</v>
      </c>
      <c r="O248">
        <f t="shared" si="6"/>
        <v>404</v>
      </c>
      <c r="P248">
        <f t="shared" si="7"/>
        <v>4</v>
      </c>
    </row>
    <row r="249" spans="1:16" x14ac:dyDescent="0.25">
      <c r="A249">
        <v>2014</v>
      </c>
      <c r="B249" t="s">
        <v>593</v>
      </c>
      <c r="C249" t="s">
        <v>609</v>
      </c>
      <c r="D249" t="s">
        <v>64</v>
      </c>
      <c r="E249">
        <v>2.5</v>
      </c>
      <c r="F249">
        <v>4</v>
      </c>
      <c r="G249" t="s">
        <v>209</v>
      </c>
      <c r="H249" t="s">
        <v>143</v>
      </c>
      <c r="I249">
        <v>9.1</v>
      </c>
      <c r="J249">
        <v>8.5</v>
      </c>
      <c r="K249">
        <v>8.8000000000000007</v>
      </c>
      <c r="L249">
        <v>32</v>
      </c>
      <c r="M249">
        <v>202</v>
      </c>
      <c r="O249">
        <f t="shared" si="6"/>
        <v>505</v>
      </c>
      <c r="P249">
        <f t="shared" si="7"/>
        <v>6.25</v>
      </c>
    </row>
    <row r="250" spans="1:16" x14ac:dyDescent="0.25">
      <c r="A250">
        <v>2014</v>
      </c>
      <c r="B250" t="s">
        <v>265</v>
      </c>
      <c r="C250" t="s">
        <v>291</v>
      </c>
      <c r="D250" t="s">
        <v>15</v>
      </c>
      <c r="E250">
        <v>2</v>
      </c>
      <c r="F250">
        <v>4</v>
      </c>
      <c r="G250" t="s">
        <v>18</v>
      </c>
      <c r="H250" t="s">
        <v>143</v>
      </c>
      <c r="I250">
        <v>10.199999999999999</v>
      </c>
      <c r="J250">
        <v>7.4</v>
      </c>
      <c r="K250">
        <v>8.9</v>
      </c>
      <c r="L250">
        <v>32</v>
      </c>
      <c r="M250">
        <v>205</v>
      </c>
      <c r="O250">
        <f t="shared" si="6"/>
        <v>410</v>
      </c>
      <c r="P250">
        <f t="shared" si="7"/>
        <v>4</v>
      </c>
    </row>
    <row r="251" spans="1:16" x14ac:dyDescent="0.25">
      <c r="A251">
        <v>2014</v>
      </c>
      <c r="B251" t="s">
        <v>265</v>
      </c>
      <c r="C251" t="s">
        <v>294</v>
      </c>
      <c r="D251" t="s">
        <v>26</v>
      </c>
      <c r="E251">
        <v>2.5</v>
      </c>
      <c r="F251">
        <v>4</v>
      </c>
      <c r="G251" t="s">
        <v>23</v>
      </c>
      <c r="H251" t="s">
        <v>143</v>
      </c>
      <c r="I251">
        <v>10.5</v>
      </c>
      <c r="J251">
        <v>7</v>
      </c>
      <c r="K251">
        <v>8.9</v>
      </c>
      <c r="L251">
        <v>32</v>
      </c>
      <c r="M251">
        <v>205</v>
      </c>
      <c r="O251">
        <f t="shared" si="6"/>
        <v>512.5</v>
      </c>
      <c r="P251">
        <f t="shared" si="7"/>
        <v>6.25</v>
      </c>
    </row>
    <row r="252" spans="1:16" x14ac:dyDescent="0.25">
      <c r="A252">
        <v>2014</v>
      </c>
      <c r="B252" t="s">
        <v>414</v>
      </c>
      <c r="C252" t="s">
        <v>427</v>
      </c>
      <c r="D252" t="s">
        <v>59</v>
      </c>
      <c r="E252">
        <v>1.6</v>
      </c>
      <c r="F252">
        <v>4</v>
      </c>
      <c r="G252" t="s">
        <v>33</v>
      </c>
      <c r="H252" t="s">
        <v>143</v>
      </c>
      <c r="I252">
        <v>9.8000000000000007</v>
      </c>
      <c r="J252">
        <v>7.9</v>
      </c>
      <c r="K252">
        <v>8.9</v>
      </c>
      <c r="L252">
        <v>32</v>
      </c>
      <c r="M252">
        <v>205</v>
      </c>
      <c r="O252">
        <f t="shared" si="6"/>
        <v>328</v>
      </c>
      <c r="P252">
        <f t="shared" si="7"/>
        <v>2.5600000000000005</v>
      </c>
    </row>
    <row r="253" spans="1:16" x14ac:dyDescent="0.25">
      <c r="A253">
        <v>2014</v>
      </c>
      <c r="B253" t="s">
        <v>490</v>
      </c>
      <c r="C253" t="s">
        <v>492</v>
      </c>
      <c r="D253" t="s">
        <v>22</v>
      </c>
      <c r="E253">
        <v>2.5</v>
      </c>
      <c r="F253">
        <v>4</v>
      </c>
      <c r="G253" t="s">
        <v>23</v>
      </c>
      <c r="H253" t="s">
        <v>143</v>
      </c>
      <c r="I253">
        <v>9.8000000000000007</v>
      </c>
      <c r="J253">
        <v>7.9</v>
      </c>
      <c r="K253">
        <v>8.9</v>
      </c>
      <c r="L253">
        <v>32</v>
      </c>
      <c r="M253">
        <v>205</v>
      </c>
      <c r="O253">
        <f t="shared" si="6"/>
        <v>512.5</v>
      </c>
      <c r="P253">
        <f t="shared" si="7"/>
        <v>6.25</v>
      </c>
    </row>
    <row r="254" spans="1:16" x14ac:dyDescent="0.25">
      <c r="A254">
        <v>2014</v>
      </c>
      <c r="B254" t="s">
        <v>506</v>
      </c>
      <c r="C254" t="s">
        <v>557</v>
      </c>
      <c r="D254" t="s">
        <v>37</v>
      </c>
      <c r="E254">
        <v>1.8</v>
      </c>
      <c r="F254">
        <v>4</v>
      </c>
      <c r="G254" t="s">
        <v>360</v>
      </c>
      <c r="H254" t="s">
        <v>17</v>
      </c>
      <c r="I254">
        <v>10.3</v>
      </c>
      <c r="J254">
        <v>7.2</v>
      </c>
      <c r="K254">
        <v>8.9</v>
      </c>
      <c r="L254">
        <v>32</v>
      </c>
      <c r="M254">
        <v>205</v>
      </c>
      <c r="O254">
        <f t="shared" si="6"/>
        <v>369</v>
      </c>
      <c r="P254">
        <f t="shared" si="7"/>
        <v>3.24</v>
      </c>
    </row>
    <row r="255" spans="1:16" x14ac:dyDescent="0.25">
      <c r="A255">
        <v>2014</v>
      </c>
      <c r="B255" t="s">
        <v>691</v>
      </c>
      <c r="C255" t="s">
        <v>710</v>
      </c>
      <c r="D255" t="s">
        <v>22</v>
      </c>
      <c r="E255">
        <v>2.5</v>
      </c>
      <c r="F255">
        <v>4</v>
      </c>
      <c r="G255" t="s">
        <v>23</v>
      </c>
      <c r="H255" t="s">
        <v>143</v>
      </c>
      <c r="I255">
        <v>10</v>
      </c>
      <c r="J255">
        <v>7.6</v>
      </c>
      <c r="K255">
        <v>8.9</v>
      </c>
      <c r="L255">
        <v>32</v>
      </c>
      <c r="M255">
        <v>205</v>
      </c>
      <c r="O255">
        <f t="shared" si="6"/>
        <v>512.5</v>
      </c>
      <c r="P255">
        <f t="shared" si="7"/>
        <v>6.25</v>
      </c>
    </row>
    <row r="256" spans="1:16" x14ac:dyDescent="0.25">
      <c r="A256">
        <v>2014</v>
      </c>
      <c r="B256" t="s">
        <v>155</v>
      </c>
      <c r="C256" t="s">
        <v>156</v>
      </c>
      <c r="D256" t="s">
        <v>15</v>
      </c>
      <c r="E256">
        <v>2.5</v>
      </c>
      <c r="F256">
        <v>4</v>
      </c>
      <c r="G256" t="s">
        <v>23</v>
      </c>
      <c r="H256" t="s">
        <v>143</v>
      </c>
      <c r="I256">
        <v>10.5</v>
      </c>
      <c r="J256">
        <v>7.2</v>
      </c>
      <c r="K256">
        <v>9</v>
      </c>
      <c r="L256">
        <v>31</v>
      </c>
      <c r="M256">
        <v>207</v>
      </c>
      <c r="O256">
        <f t="shared" si="6"/>
        <v>517.5</v>
      </c>
      <c r="P256">
        <f t="shared" si="7"/>
        <v>6.25</v>
      </c>
    </row>
    <row r="257" spans="1:16" x14ac:dyDescent="0.25">
      <c r="A257">
        <v>2014</v>
      </c>
      <c r="B257" t="s">
        <v>175</v>
      </c>
      <c r="C257" t="s">
        <v>217</v>
      </c>
      <c r="D257" t="s">
        <v>22</v>
      </c>
      <c r="E257">
        <v>1.4</v>
      </c>
      <c r="F257">
        <v>4</v>
      </c>
      <c r="G257" t="s">
        <v>23</v>
      </c>
      <c r="H257" t="s">
        <v>143</v>
      </c>
      <c r="I257">
        <v>10</v>
      </c>
      <c r="J257">
        <v>7.8</v>
      </c>
      <c r="K257">
        <v>9</v>
      </c>
      <c r="L257">
        <v>31</v>
      </c>
      <c r="M257">
        <v>207</v>
      </c>
      <c r="O257">
        <f t="shared" si="6"/>
        <v>289.79999999999995</v>
      </c>
      <c r="P257">
        <f t="shared" si="7"/>
        <v>1.9599999999999997</v>
      </c>
    </row>
    <row r="258" spans="1:16" x14ac:dyDescent="0.25">
      <c r="A258">
        <v>2014</v>
      </c>
      <c r="B258" t="s">
        <v>265</v>
      </c>
      <c r="C258" t="s">
        <v>294</v>
      </c>
      <c r="D258" t="s">
        <v>26</v>
      </c>
      <c r="E258">
        <v>2</v>
      </c>
      <c r="F258">
        <v>4</v>
      </c>
      <c r="G258" t="s">
        <v>23</v>
      </c>
      <c r="H258" t="s">
        <v>143</v>
      </c>
      <c r="I258">
        <v>10.5</v>
      </c>
      <c r="J258">
        <v>7.1</v>
      </c>
      <c r="K258">
        <v>9</v>
      </c>
      <c r="L258">
        <v>31</v>
      </c>
      <c r="M258">
        <v>207</v>
      </c>
      <c r="O258">
        <f t="shared" si="6"/>
        <v>414</v>
      </c>
      <c r="P258">
        <f t="shared" si="7"/>
        <v>4</v>
      </c>
    </row>
    <row r="259" spans="1:16" x14ac:dyDescent="0.25">
      <c r="A259">
        <v>2014</v>
      </c>
      <c r="B259" t="s">
        <v>414</v>
      </c>
      <c r="C259" t="s">
        <v>427</v>
      </c>
      <c r="D259" t="s">
        <v>59</v>
      </c>
      <c r="E259">
        <v>1.6</v>
      </c>
      <c r="F259">
        <v>4</v>
      </c>
      <c r="G259" t="s">
        <v>18</v>
      </c>
      <c r="H259" t="s">
        <v>143</v>
      </c>
      <c r="I259">
        <v>9.9</v>
      </c>
      <c r="J259">
        <v>7.8</v>
      </c>
      <c r="K259">
        <v>9</v>
      </c>
      <c r="L259">
        <v>31</v>
      </c>
      <c r="M259">
        <v>207</v>
      </c>
      <c r="O259">
        <f t="shared" ref="O259:O322" si="8">M259*E259</f>
        <v>331.20000000000005</v>
      </c>
      <c r="P259">
        <f t="shared" ref="P259:P322" si="9">E259*E259</f>
        <v>2.5600000000000005</v>
      </c>
    </row>
    <row r="260" spans="1:16" x14ac:dyDescent="0.25">
      <c r="A260">
        <v>2014</v>
      </c>
      <c r="B260" t="s">
        <v>473</v>
      </c>
      <c r="C260" t="s">
        <v>479</v>
      </c>
      <c r="D260" t="s">
        <v>26</v>
      </c>
      <c r="E260">
        <v>2</v>
      </c>
      <c r="F260">
        <v>4</v>
      </c>
      <c r="G260" t="s">
        <v>23</v>
      </c>
      <c r="H260" t="s">
        <v>143</v>
      </c>
      <c r="I260">
        <v>10.5</v>
      </c>
      <c r="J260">
        <v>7.1</v>
      </c>
      <c r="K260">
        <v>9</v>
      </c>
      <c r="L260">
        <v>31</v>
      </c>
      <c r="M260">
        <v>207</v>
      </c>
      <c r="O260">
        <f t="shared" si="8"/>
        <v>414</v>
      </c>
      <c r="P260">
        <f t="shared" si="9"/>
        <v>4</v>
      </c>
    </row>
    <row r="261" spans="1:16" x14ac:dyDescent="0.25">
      <c r="A261">
        <v>2014</v>
      </c>
      <c r="B261" t="s">
        <v>506</v>
      </c>
      <c r="C261" t="s">
        <v>557</v>
      </c>
      <c r="D261" t="s">
        <v>37</v>
      </c>
      <c r="E261">
        <v>1.8</v>
      </c>
      <c r="F261">
        <v>4</v>
      </c>
      <c r="G261" t="s">
        <v>18</v>
      </c>
      <c r="H261" t="s">
        <v>17</v>
      </c>
      <c r="I261">
        <v>10.4</v>
      </c>
      <c r="J261">
        <v>7.3</v>
      </c>
      <c r="K261">
        <v>9</v>
      </c>
      <c r="L261">
        <v>31</v>
      </c>
      <c r="M261">
        <v>207</v>
      </c>
      <c r="O261">
        <f t="shared" si="8"/>
        <v>372.6</v>
      </c>
      <c r="P261">
        <f t="shared" si="9"/>
        <v>3.24</v>
      </c>
    </row>
    <row r="262" spans="1:16" x14ac:dyDescent="0.25">
      <c r="A262">
        <v>2014</v>
      </c>
      <c r="B262" t="s">
        <v>563</v>
      </c>
      <c r="C262" t="s">
        <v>572</v>
      </c>
      <c r="D262" t="s">
        <v>15</v>
      </c>
      <c r="E262">
        <v>1.6</v>
      </c>
      <c r="F262">
        <v>4</v>
      </c>
      <c r="G262" t="s">
        <v>33</v>
      </c>
      <c r="H262" t="s">
        <v>17</v>
      </c>
      <c r="I262">
        <v>10</v>
      </c>
      <c r="J262">
        <v>7.8</v>
      </c>
      <c r="K262">
        <v>9</v>
      </c>
      <c r="L262">
        <v>31</v>
      </c>
      <c r="M262">
        <v>207</v>
      </c>
      <c r="O262">
        <f t="shared" si="8"/>
        <v>331.20000000000005</v>
      </c>
      <c r="P262">
        <f t="shared" si="9"/>
        <v>2.5600000000000005</v>
      </c>
    </row>
    <row r="263" spans="1:16" x14ac:dyDescent="0.25">
      <c r="A263">
        <v>2014</v>
      </c>
      <c r="B263" t="s">
        <v>563</v>
      </c>
      <c r="C263" t="s">
        <v>574</v>
      </c>
      <c r="D263" t="s">
        <v>15</v>
      </c>
      <c r="E263">
        <v>1.6</v>
      </c>
      <c r="F263">
        <v>4</v>
      </c>
      <c r="G263" t="s">
        <v>33</v>
      </c>
      <c r="H263" t="s">
        <v>17</v>
      </c>
      <c r="I263">
        <v>10</v>
      </c>
      <c r="J263">
        <v>7.8</v>
      </c>
      <c r="K263">
        <v>9</v>
      </c>
      <c r="L263">
        <v>31</v>
      </c>
      <c r="M263">
        <v>207</v>
      </c>
      <c r="O263">
        <f t="shared" si="8"/>
        <v>331.20000000000005</v>
      </c>
      <c r="P263">
        <f t="shared" si="9"/>
        <v>2.5600000000000005</v>
      </c>
    </row>
    <row r="264" spans="1:16" x14ac:dyDescent="0.25">
      <c r="A264">
        <v>2014</v>
      </c>
      <c r="B264" t="s">
        <v>563</v>
      </c>
      <c r="C264" t="s">
        <v>578</v>
      </c>
      <c r="D264" t="s">
        <v>15</v>
      </c>
      <c r="E264">
        <v>1.6</v>
      </c>
      <c r="F264">
        <v>4</v>
      </c>
      <c r="G264" t="s">
        <v>33</v>
      </c>
      <c r="H264" t="s">
        <v>17</v>
      </c>
      <c r="I264">
        <v>10</v>
      </c>
      <c r="J264">
        <v>7.8</v>
      </c>
      <c r="K264">
        <v>9</v>
      </c>
      <c r="L264">
        <v>31</v>
      </c>
      <c r="M264">
        <v>207</v>
      </c>
      <c r="O264">
        <f t="shared" si="8"/>
        <v>331.20000000000005</v>
      </c>
      <c r="P264">
        <f t="shared" si="9"/>
        <v>2.5600000000000005</v>
      </c>
    </row>
    <row r="265" spans="1:16" x14ac:dyDescent="0.25">
      <c r="A265">
        <v>2014</v>
      </c>
      <c r="B265" t="s">
        <v>563</v>
      </c>
      <c r="C265" t="s">
        <v>580</v>
      </c>
      <c r="D265" t="s">
        <v>15</v>
      </c>
      <c r="E265">
        <v>1.6</v>
      </c>
      <c r="F265">
        <v>4</v>
      </c>
      <c r="G265" t="s">
        <v>33</v>
      </c>
      <c r="H265" t="s">
        <v>17</v>
      </c>
      <c r="I265">
        <v>10</v>
      </c>
      <c r="J265">
        <v>7.8</v>
      </c>
      <c r="K265">
        <v>9</v>
      </c>
      <c r="L265">
        <v>31</v>
      </c>
      <c r="M265">
        <v>207</v>
      </c>
      <c r="O265">
        <f t="shared" si="8"/>
        <v>331.20000000000005</v>
      </c>
      <c r="P265">
        <f t="shared" si="9"/>
        <v>2.5600000000000005</v>
      </c>
    </row>
    <row r="266" spans="1:16" x14ac:dyDescent="0.25">
      <c r="A266">
        <v>2014</v>
      </c>
      <c r="B266" t="s">
        <v>582</v>
      </c>
      <c r="C266" t="s">
        <v>592</v>
      </c>
      <c r="D266" t="s">
        <v>22</v>
      </c>
      <c r="E266">
        <v>2</v>
      </c>
      <c r="F266">
        <v>4</v>
      </c>
      <c r="G266" t="s">
        <v>453</v>
      </c>
      <c r="H266" t="s">
        <v>143</v>
      </c>
      <c r="I266">
        <v>9.8000000000000007</v>
      </c>
      <c r="J266">
        <v>8</v>
      </c>
      <c r="K266">
        <v>9</v>
      </c>
      <c r="L266">
        <v>31</v>
      </c>
      <c r="M266">
        <v>207</v>
      </c>
      <c r="O266">
        <f t="shared" si="8"/>
        <v>414</v>
      </c>
      <c r="P266">
        <f t="shared" si="9"/>
        <v>4</v>
      </c>
    </row>
    <row r="267" spans="1:16" x14ac:dyDescent="0.25">
      <c r="A267">
        <v>2014</v>
      </c>
      <c r="B267" t="s">
        <v>667</v>
      </c>
      <c r="C267" t="s">
        <v>670</v>
      </c>
      <c r="D267" t="s">
        <v>15</v>
      </c>
      <c r="E267">
        <v>2.5</v>
      </c>
      <c r="F267">
        <v>4</v>
      </c>
      <c r="G267" t="s">
        <v>23</v>
      </c>
      <c r="H267" t="s">
        <v>143</v>
      </c>
      <c r="I267">
        <v>10.199999999999999</v>
      </c>
      <c r="J267">
        <v>7.5</v>
      </c>
      <c r="K267">
        <v>9</v>
      </c>
      <c r="L267">
        <v>31</v>
      </c>
      <c r="M267">
        <v>207</v>
      </c>
      <c r="O267">
        <f t="shared" si="8"/>
        <v>517.5</v>
      </c>
      <c r="P267">
        <f t="shared" si="9"/>
        <v>6.25</v>
      </c>
    </row>
    <row r="268" spans="1:16" x14ac:dyDescent="0.25">
      <c r="A268">
        <v>2014</v>
      </c>
      <c r="B268" t="s">
        <v>667</v>
      </c>
      <c r="C268" t="s">
        <v>670</v>
      </c>
      <c r="D268" t="s">
        <v>15</v>
      </c>
      <c r="E268">
        <v>2.5</v>
      </c>
      <c r="F268">
        <v>4</v>
      </c>
      <c r="G268" t="s">
        <v>18</v>
      </c>
      <c r="H268" t="s">
        <v>143</v>
      </c>
      <c r="I268">
        <v>10.199999999999999</v>
      </c>
      <c r="J268">
        <v>7.6</v>
      </c>
      <c r="K268">
        <v>9</v>
      </c>
      <c r="L268">
        <v>31</v>
      </c>
      <c r="M268">
        <v>207</v>
      </c>
      <c r="O268">
        <f t="shared" si="8"/>
        <v>517.5</v>
      </c>
      <c r="P268">
        <f t="shared" si="9"/>
        <v>6.25</v>
      </c>
    </row>
    <row r="269" spans="1:16" x14ac:dyDescent="0.25">
      <c r="A269">
        <v>2014</v>
      </c>
      <c r="B269" t="s">
        <v>681</v>
      </c>
      <c r="C269" t="s">
        <v>687</v>
      </c>
      <c r="D269" t="s">
        <v>22</v>
      </c>
      <c r="E269">
        <v>2.5</v>
      </c>
      <c r="F269">
        <v>4</v>
      </c>
      <c r="G269" t="s">
        <v>209</v>
      </c>
      <c r="H269" t="s">
        <v>143</v>
      </c>
      <c r="I269">
        <v>9.9</v>
      </c>
      <c r="J269">
        <v>7.8</v>
      </c>
      <c r="K269">
        <v>9</v>
      </c>
      <c r="L269">
        <v>31</v>
      </c>
      <c r="M269">
        <v>207</v>
      </c>
      <c r="O269">
        <f t="shared" si="8"/>
        <v>517.5</v>
      </c>
      <c r="P269">
        <f t="shared" si="9"/>
        <v>6.25</v>
      </c>
    </row>
    <row r="270" spans="1:16" x14ac:dyDescent="0.25">
      <c r="A270">
        <v>2014</v>
      </c>
      <c r="B270" t="s">
        <v>723</v>
      </c>
      <c r="C270" t="s">
        <v>732</v>
      </c>
      <c r="D270" t="s">
        <v>15</v>
      </c>
      <c r="E270">
        <v>2</v>
      </c>
      <c r="F270">
        <v>4</v>
      </c>
      <c r="G270" t="s">
        <v>126</v>
      </c>
      <c r="H270" t="s">
        <v>143</v>
      </c>
      <c r="I270">
        <v>10.4</v>
      </c>
      <c r="J270">
        <v>7.2</v>
      </c>
      <c r="K270">
        <v>9</v>
      </c>
      <c r="L270">
        <v>31</v>
      </c>
      <c r="M270">
        <v>207</v>
      </c>
      <c r="O270">
        <f t="shared" si="8"/>
        <v>414</v>
      </c>
      <c r="P270">
        <f t="shared" si="9"/>
        <v>4</v>
      </c>
    </row>
    <row r="271" spans="1:16" x14ac:dyDescent="0.25">
      <c r="A271">
        <v>2014</v>
      </c>
      <c r="B271" t="s">
        <v>723</v>
      </c>
      <c r="C271" t="s">
        <v>733</v>
      </c>
      <c r="D271" t="s">
        <v>15</v>
      </c>
      <c r="E271">
        <v>2</v>
      </c>
      <c r="F271">
        <v>4</v>
      </c>
      <c r="G271" t="s">
        <v>33</v>
      </c>
      <c r="H271" t="s">
        <v>17</v>
      </c>
      <c r="I271">
        <v>10.199999999999999</v>
      </c>
      <c r="J271">
        <v>7.5</v>
      </c>
      <c r="K271">
        <v>9</v>
      </c>
      <c r="L271">
        <v>31</v>
      </c>
      <c r="M271">
        <v>207</v>
      </c>
      <c r="O271">
        <f t="shared" si="8"/>
        <v>414</v>
      </c>
      <c r="P271">
        <f t="shared" si="9"/>
        <v>4</v>
      </c>
    </row>
    <row r="272" spans="1:16" x14ac:dyDescent="0.25">
      <c r="A272">
        <v>2014</v>
      </c>
      <c r="B272" t="s">
        <v>41</v>
      </c>
      <c r="C272" t="s">
        <v>62</v>
      </c>
      <c r="D272" t="s">
        <v>22</v>
      </c>
      <c r="E272">
        <v>3</v>
      </c>
      <c r="F272">
        <v>6</v>
      </c>
      <c r="G272" t="s">
        <v>45</v>
      </c>
      <c r="H272" t="s">
        <v>50</v>
      </c>
      <c r="I272">
        <v>10.3</v>
      </c>
      <c r="J272">
        <v>7.6</v>
      </c>
      <c r="K272">
        <v>9.1</v>
      </c>
      <c r="L272">
        <v>31</v>
      </c>
      <c r="M272">
        <v>246</v>
      </c>
      <c r="O272">
        <f t="shared" si="8"/>
        <v>738</v>
      </c>
      <c r="P272">
        <f t="shared" si="9"/>
        <v>9</v>
      </c>
    </row>
    <row r="273" spans="1:16" x14ac:dyDescent="0.25">
      <c r="A273">
        <v>2014</v>
      </c>
      <c r="B273" t="s">
        <v>41</v>
      </c>
      <c r="C273" t="s">
        <v>79</v>
      </c>
      <c r="D273" t="s">
        <v>35</v>
      </c>
      <c r="E273">
        <v>2</v>
      </c>
      <c r="F273">
        <v>4</v>
      </c>
      <c r="G273" t="s">
        <v>33</v>
      </c>
      <c r="H273" t="s">
        <v>17</v>
      </c>
      <c r="I273">
        <v>10.4</v>
      </c>
      <c r="J273">
        <v>7.6</v>
      </c>
      <c r="K273">
        <v>9.1</v>
      </c>
      <c r="L273">
        <v>31</v>
      </c>
      <c r="M273">
        <v>209</v>
      </c>
      <c r="O273">
        <f t="shared" si="8"/>
        <v>418</v>
      </c>
      <c r="P273">
        <f t="shared" si="9"/>
        <v>4</v>
      </c>
    </row>
    <row r="274" spans="1:16" x14ac:dyDescent="0.25">
      <c r="A274">
        <v>2014</v>
      </c>
      <c r="B274" t="s">
        <v>41</v>
      </c>
      <c r="C274" t="s">
        <v>80</v>
      </c>
      <c r="D274" t="s">
        <v>37</v>
      </c>
      <c r="E274">
        <v>2</v>
      </c>
      <c r="F274">
        <v>4</v>
      </c>
      <c r="G274" t="s">
        <v>33</v>
      </c>
      <c r="H274" t="s">
        <v>17</v>
      </c>
      <c r="I274">
        <v>10.4</v>
      </c>
      <c r="J274">
        <v>7.6</v>
      </c>
      <c r="K274">
        <v>9.1</v>
      </c>
      <c r="L274">
        <v>31</v>
      </c>
      <c r="M274">
        <v>209</v>
      </c>
      <c r="O274">
        <f t="shared" si="8"/>
        <v>418</v>
      </c>
      <c r="P274">
        <f t="shared" si="9"/>
        <v>4</v>
      </c>
    </row>
    <row r="275" spans="1:16" x14ac:dyDescent="0.25">
      <c r="A275">
        <v>2014</v>
      </c>
      <c r="B275" t="s">
        <v>90</v>
      </c>
      <c r="C275" t="s">
        <v>96</v>
      </c>
      <c r="D275" t="s">
        <v>15</v>
      </c>
      <c r="E275">
        <v>2</v>
      </c>
      <c r="F275">
        <v>4</v>
      </c>
      <c r="G275" t="s">
        <v>53</v>
      </c>
      <c r="H275" t="s">
        <v>17</v>
      </c>
      <c r="I275">
        <v>10.6</v>
      </c>
      <c r="J275">
        <v>7.2</v>
      </c>
      <c r="K275">
        <v>9.1</v>
      </c>
      <c r="L275">
        <v>31</v>
      </c>
      <c r="M275">
        <v>209</v>
      </c>
      <c r="O275">
        <f t="shared" si="8"/>
        <v>418</v>
      </c>
      <c r="P275">
        <f t="shared" si="9"/>
        <v>4</v>
      </c>
    </row>
    <row r="276" spans="1:16" x14ac:dyDescent="0.25">
      <c r="A276">
        <v>2014</v>
      </c>
      <c r="B276" t="s">
        <v>90</v>
      </c>
      <c r="C276" t="s">
        <v>97</v>
      </c>
      <c r="D276" t="s">
        <v>56</v>
      </c>
      <c r="E276">
        <v>2</v>
      </c>
      <c r="F276">
        <v>4</v>
      </c>
      <c r="G276" t="s">
        <v>53</v>
      </c>
      <c r="H276" t="s">
        <v>17</v>
      </c>
      <c r="I276">
        <v>10.6</v>
      </c>
      <c r="J276">
        <v>7.2</v>
      </c>
      <c r="K276">
        <v>9.1</v>
      </c>
      <c r="L276">
        <v>31</v>
      </c>
      <c r="M276">
        <v>209</v>
      </c>
      <c r="O276">
        <f t="shared" si="8"/>
        <v>418</v>
      </c>
      <c r="P276">
        <f t="shared" si="9"/>
        <v>4</v>
      </c>
    </row>
    <row r="277" spans="1:16" x14ac:dyDescent="0.25">
      <c r="A277">
        <v>2014</v>
      </c>
      <c r="B277" t="s">
        <v>90</v>
      </c>
      <c r="C277" t="s">
        <v>98</v>
      </c>
      <c r="D277" t="s">
        <v>59</v>
      </c>
      <c r="E277">
        <v>2</v>
      </c>
      <c r="F277">
        <v>4</v>
      </c>
      <c r="G277" t="s">
        <v>53</v>
      </c>
      <c r="H277" t="s">
        <v>17</v>
      </c>
      <c r="I277">
        <v>10.6</v>
      </c>
      <c r="J277">
        <v>7.2</v>
      </c>
      <c r="K277">
        <v>9.1</v>
      </c>
      <c r="L277">
        <v>31</v>
      </c>
      <c r="M277">
        <v>209</v>
      </c>
      <c r="O277">
        <f t="shared" si="8"/>
        <v>418</v>
      </c>
      <c r="P277">
        <f t="shared" si="9"/>
        <v>4</v>
      </c>
    </row>
    <row r="278" spans="1:16" x14ac:dyDescent="0.25">
      <c r="A278">
        <v>2014</v>
      </c>
      <c r="B278" t="s">
        <v>90</v>
      </c>
      <c r="C278" t="s">
        <v>103</v>
      </c>
      <c r="D278" t="s">
        <v>15</v>
      </c>
      <c r="E278">
        <v>2</v>
      </c>
      <c r="F278">
        <v>4</v>
      </c>
      <c r="G278" t="s">
        <v>53</v>
      </c>
      <c r="H278" t="s">
        <v>17</v>
      </c>
      <c r="I278">
        <v>10.6</v>
      </c>
      <c r="J278">
        <v>7.2</v>
      </c>
      <c r="K278">
        <v>9.1</v>
      </c>
      <c r="L278">
        <v>31</v>
      </c>
      <c r="M278">
        <v>209</v>
      </c>
      <c r="O278">
        <f t="shared" si="8"/>
        <v>418</v>
      </c>
      <c r="P278">
        <f t="shared" si="9"/>
        <v>4</v>
      </c>
    </row>
    <row r="279" spans="1:16" x14ac:dyDescent="0.25">
      <c r="A279">
        <v>2014</v>
      </c>
      <c r="B279" t="s">
        <v>90</v>
      </c>
      <c r="C279" t="s">
        <v>107</v>
      </c>
      <c r="D279" t="s">
        <v>26</v>
      </c>
      <c r="E279">
        <v>2</v>
      </c>
      <c r="F279">
        <v>4</v>
      </c>
      <c r="G279" t="s">
        <v>53</v>
      </c>
      <c r="H279" t="s">
        <v>17</v>
      </c>
      <c r="I279">
        <v>10.6</v>
      </c>
      <c r="J279">
        <v>7.2</v>
      </c>
      <c r="K279">
        <v>9.1</v>
      </c>
      <c r="L279">
        <v>31</v>
      </c>
      <c r="M279">
        <v>209</v>
      </c>
      <c r="O279">
        <f t="shared" si="8"/>
        <v>418</v>
      </c>
      <c r="P279">
        <f t="shared" si="9"/>
        <v>4</v>
      </c>
    </row>
    <row r="280" spans="1:16" x14ac:dyDescent="0.25">
      <c r="A280">
        <v>2014</v>
      </c>
      <c r="B280" t="s">
        <v>90</v>
      </c>
      <c r="C280" t="s">
        <v>129</v>
      </c>
      <c r="D280" t="s">
        <v>22</v>
      </c>
      <c r="E280">
        <v>2</v>
      </c>
      <c r="F280">
        <v>4</v>
      </c>
      <c r="G280" t="s">
        <v>53</v>
      </c>
      <c r="H280" t="s">
        <v>17</v>
      </c>
      <c r="I280">
        <v>10.6</v>
      </c>
      <c r="J280">
        <v>7.2</v>
      </c>
      <c r="K280">
        <v>9.1</v>
      </c>
      <c r="L280">
        <v>31</v>
      </c>
      <c r="M280">
        <v>209</v>
      </c>
      <c r="O280">
        <f t="shared" si="8"/>
        <v>418</v>
      </c>
      <c r="P280">
        <f t="shared" si="9"/>
        <v>4</v>
      </c>
    </row>
    <row r="281" spans="1:16" x14ac:dyDescent="0.25">
      <c r="A281">
        <v>2014</v>
      </c>
      <c r="B281" t="s">
        <v>90</v>
      </c>
      <c r="C281" t="s">
        <v>138</v>
      </c>
      <c r="D281" t="s">
        <v>37</v>
      </c>
      <c r="E281">
        <v>2</v>
      </c>
      <c r="F281">
        <v>4</v>
      </c>
      <c r="G281" t="s">
        <v>53</v>
      </c>
      <c r="H281" t="s">
        <v>17</v>
      </c>
      <c r="I281">
        <v>10.8</v>
      </c>
      <c r="J281">
        <v>7.1</v>
      </c>
      <c r="K281">
        <v>9.1</v>
      </c>
      <c r="L281">
        <v>31</v>
      </c>
      <c r="M281">
        <v>209</v>
      </c>
      <c r="O281">
        <f t="shared" si="8"/>
        <v>418</v>
      </c>
      <c r="P281">
        <f t="shared" si="9"/>
        <v>4</v>
      </c>
    </row>
    <row r="282" spans="1:16" x14ac:dyDescent="0.25">
      <c r="A282">
        <v>2014</v>
      </c>
      <c r="B282" t="s">
        <v>175</v>
      </c>
      <c r="C282" t="s">
        <v>185</v>
      </c>
      <c r="D282" t="s">
        <v>22</v>
      </c>
      <c r="E282">
        <v>2.4</v>
      </c>
      <c r="F282">
        <v>4</v>
      </c>
      <c r="G282" t="s">
        <v>33</v>
      </c>
      <c r="H282" t="s">
        <v>143</v>
      </c>
      <c r="I282">
        <v>10.5</v>
      </c>
      <c r="J282">
        <v>7.3</v>
      </c>
      <c r="K282">
        <v>9.1</v>
      </c>
      <c r="L282">
        <v>31</v>
      </c>
      <c r="M282">
        <v>209</v>
      </c>
      <c r="O282">
        <f t="shared" si="8"/>
        <v>501.59999999999997</v>
      </c>
      <c r="P282">
        <f t="shared" si="9"/>
        <v>5.76</v>
      </c>
    </row>
    <row r="283" spans="1:16" x14ac:dyDescent="0.25">
      <c r="A283">
        <v>2014</v>
      </c>
      <c r="B283" t="s">
        <v>265</v>
      </c>
      <c r="C283" t="s">
        <v>273</v>
      </c>
      <c r="D283" t="s">
        <v>22</v>
      </c>
      <c r="E283">
        <v>1.6</v>
      </c>
      <c r="F283">
        <v>4</v>
      </c>
      <c r="G283" t="s">
        <v>23</v>
      </c>
      <c r="H283" t="s">
        <v>143</v>
      </c>
      <c r="I283">
        <v>10.4</v>
      </c>
      <c r="J283">
        <v>7.4</v>
      </c>
      <c r="K283">
        <v>9.1</v>
      </c>
      <c r="L283">
        <v>31</v>
      </c>
      <c r="M283">
        <v>209</v>
      </c>
      <c r="O283">
        <f t="shared" si="8"/>
        <v>334.40000000000003</v>
      </c>
      <c r="P283">
        <f t="shared" si="9"/>
        <v>2.5600000000000005</v>
      </c>
    </row>
    <row r="284" spans="1:16" x14ac:dyDescent="0.25">
      <c r="A284">
        <v>2014</v>
      </c>
      <c r="B284" t="s">
        <v>265</v>
      </c>
      <c r="C284" t="s">
        <v>300</v>
      </c>
      <c r="D284" t="s">
        <v>56</v>
      </c>
      <c r="E284">
        <v>2</v>
      </c>
      <c r="F284">
        <v>4</v>
      </c>
      <c r="G284" t="s">
        <v>23</v>
      </c>
      <c r="H284" t="s">
        <v>143</v>
      </c>
      <c r="I284">
        <v>10.5</v>
      </c>
      <c r="J284">
        <v>7.3</v>
      </c>
      <c r="K284">
        <v>9.1</v>
      </c>
      <c r="L284">
        <v>31</v>
      </c>
      <c r="M284">
        <v>209</v>
      </c>
      <c r="O284">
        <f t="shared" si="8"/>
        <v>418</v>
      </c>
      <c r="P284">
        <f t="shared" si="9"/>
        <v>4</v>
      </c>
    </row>
    <row r="285" spans="1:16" x14ac:dyDescent="0.25">
      <c r="A285">
        <v>2014</v>
      </c>
      <c r="B285" t="s">
        <v>308</v>
      </c>
      <c r="C285" t="s">
        <v>321</v>
      </c>
      <c r="D285" t="s">
        <v>22</v>
      </c>
      <c r="E285">
        <v>2.4</v>
      </c>
      <c r="F285">
        <v>4</v>
      </c>
      <c r="G285" t="s">
        <v>33</v>
      </c>
      <c r="H285" t="s">
        <v>143</v>
      </c>
      <c r="I285">
        <v>10.5</v>
      </c>
      <c r="J285">
        <v>7.3</v>
      </c>
      <c r="K285">
        <v>9.1</v>
      </c>
      <c r="L285">
        <v>31</v>
      </c>
      <c r="M285">
        <v>209</v>
      </c>
      <c r="O285">
        <f t="shared" si="8"/>
        <v>501.59999999999997</v>
      </c>
      <c r="P285">
        <f t="shared" si="9"/>
        <v>5.76</v>
      </c>
    </row>
    <row r="286" spans="1:16" x14ac:dyDescent="0.25">
      <c r="A286">
        <v>2014</v>
      </c>
      <c r="B286" t="s">
        <v>329</v>
      </c>
      <c r="C286" t="s">
        <v>330</v>
      </c>
      <c r="D286" t="s">
        <v>26</v>
      </c>
      <c r="E286">
        <v>3.5</v>
      </c>
      <c r="F286">
        <v>6</v>
      </c>
      <c r="G286" t="s">
        <v>33</v>
      </c>
      <c r="H286" t="s">
        <v>143</v>
      </c>
      <c r="I286">
        <v>11</v>
      </c>
      <c r="J286">
        <v>6.8</v>
      </c>
      <c r="K286">
        <v>9.1</v>
      </c>
      <c r="L286">
        <v>31</v>
      </c>
      <c r="M286">
        <v>209</v>
      </c>
      <c r="O286">
        <f t="shared" si="8"/>
        <v>731.5</v>
      </c>
      <c r="P286">
        <f t="shared" si="9"/>
        <v>12.25</v>
      </c>
    </row>
    <row r="287" spans="1:16" x14ac:dyDescent="0.25">
      <c r="A287">
        <v>2014</v>
      </c>
      <c r="B287" t="s">
        <v>329</v>
      </c>
      <c r="C287" t="s">
        <v>334</v>
      </c>
      <c r="D287" t="s">
        <v>22</v>
      </c>
      <c r="E287">
        <v>2.4</v>
      </c>
      <c r="F287">
        <v>4</v>
      </c>
      <c r="G287" t="s">
        <v>224</v>
      </c>
      <c r="H287" t="s">
        <v>143</v>
      </c>
      <c r="I287">
        <v>10.3</v>
      </c>
      <c r="J287">
        <v>7.6</v>
      </c>
      <c r="K287">
        <v>9.1</v>
      </c>
      <c r="L287">
        <v>31</v>
      </c>
      <c r="M287">
        <v>209</v>
      </c>
      <c r="O287">
        <f t="shared" si="8"/>
        <v>501.59999999999997</v>
      </c>
      <c r="P287">
        <f t="shared" si="9"/>
        <v>5.76</v>
      </c>
    </row>
    <row r="288" spans="1:16" x14ac:dyDescent="0.25">
      <c r="A288">
        <v>2014</v>
      </c>
      <c r="B288" t="s">
        <v>396</v>
      </c>
      <c r="C288" t="s">
        <v>402</v>
      </c>
      <c r="D288" t="s">
        <v>22</v>
      </c>
      <c r="E288">
        <v>2</v>
      </c>
      <c r="F288">
        <v>4</v>
      </c>
      <c r="G288" t="s">
        <v>126</v>
      </c>
      <c r="H288" t="s">
        <v>143</v>
      </c>
      <c r="I288">
        <v>10.199999999999999</v>
      </c>
      <c r="J288">
        <v>7.8</v>
      </c>
      <c r="K288">
        <v>9.1</v>
      </c>
      <c r="L288">
        <v>31</v>
      </c>
      <c r="M288">
        <v>209</v>
      </c>
      <c r="O288">
        <f t="shared" si="8"/>
        <v>418</v>
      </c>
      <c r="P288">
        <f t="shared" si="9"/>
        <v>4</v>
      </c>
    </row>
    <row r="289" spans="1:16" x14ac:dyDescent="0.25">
      <c r="A289">
        <v>2014</v>
      </c>
      <c r="B289" t="s">
        <v>396</v>
      </c>
      <c r="C289" t="s">
        <v>409</v>
      </c>
      <c r="D289" t="s">
        <v>22</v>
      </c>
      <c r="E289">
        <v>2</v>
      </c>
      <c r="F289">
        <v>4</v>
      </c>
      <c r="G289" t="s">
        <v>126</v>
      </c>
      <c r="H289" t="s">
        <v>143</v>
      </c>
      <c r="I289">
        <v>10.199999999999999</v>
      </c>
      <c r="J289">
        <v>7.8</v>
      </c>
      <c r="K289">
        <v>9.1</v>
      </c>
      <c r="L289">
        <v>31</v>
      </c>
      <c r="M289">
        <v>209</v>
      </c>
      <c r="O289">
        <f t="shared" si="8"/>
        <v>418</v>
      </c>
      <c r="P289">
        <f t="shared" si="9"/>
        <v>4</v>
      </c>
    </row>
    <row r="290" spans="1:16" x14ac:dyDescent="0.25">
      <c r="A290">
        <v>2014</v>
      </c>
      <c r="B290" t="s">
        <v>414</v>
      </c>
      <c r="C290" t="s">
        <v>427</v>
      </c>
      <c r="D290" t="s">
        <v>59</v>
      </c>
      <c r="E290">
        <v>2</v>
      </c>
      <c r="F290">
        <v>4</v>
      </c>
      <c r="G290" t="s">
        <v>33</v>
      </c>
      <c r="H290" t="s">
        <v>143</v>
      </c>
      <c r="I290">
        <v>10.1</v>
      </c>
      <c r="J290">
        <v>7.8</v>
      </c>
      <c r="K290">
        <v>9.1</v>
      </c>
      <c r="L290">
        <v>31</v>
      </c>
      <c r="M290">
        <v>209</v>
      </c>
      <c r="O290">
        <f t="shared" si="8"/>
        <v>418</v>
      </c>
      <c r="P290">
        <f t="shared" si="9"/>
        <v>4</v>
      </c>
    </row>
    <row r="291" spans="1:16" x14ac:dyDescent="0.25">
      <c r="A291">
        <v>2014</v>
      </c>
      <c r="B291" t="s">
        <v>582</v>
      </c>
      <c r="C291" t="s">
        <v>590</v>
      </c>
      <c r="D291" t="s">
        <v>22</v>
      </c>
      <c r="E291">
        <v>2.4</v>
      </c>
      <c r="F291">
        <v>4</v>
      </c>
      <c r="G291" t="s">
        <v>453</v>
      </c>
      <c r="H291" t="s">
        <v>143</v>
      </c>
      <c r="I291">
        <v>9.9</v>
      </c>
      <c r="J291">
        <v>8.1</v>
      </c>
      <c r="K291">
        <v>9.1</v>
      </c>
      <c r="L291">
        <v>31</v>
      </c>
      <c r="M291">
        <v>209</v>
      </c>
      <c r="O291">
        <f t="shared" si="8"/>
        <v>501.59999999999997</v>
      </c>
      <c r="P291">
        <f t="shared" si="9"/>
        <v>5.76</v>
      </c>
    </row>
    <row r="292" spans="1:16" x14ac:dyDescent="0.25">
      <c r="A292">
        <v>2014</v>
      </c>
      <c r="B292" t="s">
        <v>723</v>
      </c>
      <c r="C292" t="s">
        <v>724</v>
      </c>
      <c r="D292" t="s">
        <v>15</v>
      </c>
      <c r="E292">
        <v>2</v>
      </c>
      <c r="F292">
        <v>4</v>
      </c>
      <c r="G292" t="s">
        <v>33</v>
      </c>
      <c r="H292" t="s">
        <v>17</v>
      </c>
      <c r="I292">
        <v>10.3</v>
      </c>
      <c r="J292">
        <v>7.7</v>
      </c>
      <c r="K292">
        <v>9.1</v>
      </c>
      <c r="L292">
        <v>31</v>
      </c>
      <c r="M292">
        <v>209</v>
      </c>
      <c r="O292">
        <f t="shared" si="8"/>
        <v>418</v>
      </c>
      <c r="P292">
        <f t="shared" si="9"/>
        <v>4</v>
      </c>
    </row>
    <row r="293" spans="1:16" x14ac:dyDescent="0.25">
      <c r="A293">
        <v>2014</v>
      </c>
      <c r="B293" t="s">
        <v>13</v>
      </c>
      <c r="C293" t="s">
        <v>29</v>
      </c>
      <c r="D293" t="s">
        <v>15</v>
      </c>
      <c r="E293">
        <v>2.4</v>
      </c>
      <c r="F293">
        <v>4</v>
      </c>
      <c r="G293" t="s">
        <v>16</v>
      </c>
      <c r="H293" t="s">
        <v>17</v>
      </c>
      <c r="I293">
        <v>10.6</v>
      </c>
      <c r="J293">
        <v>7.5</v>
      </c>
      <c r="K293">
        <v>9.1999999999999993</v>
      </c>
      <c r="L293">
        <v>31</v>
      </c>
      <c r="M293">
        <v>212</v>
      </c>
      <c r="O293">
        <f t="shared" si="8"/>
        <v>508.79999999999995</v>
      </c>
      <c r="P293">
        <f t="shared" si="9"/>
        <v>5.76</v>
      </c>
    </row>
    <row r="294" spans="1:16" x14ac:dyDescent="0.25">
      <c r="A294">
        <v>2014</v>
      </c>
      <c r="B294" t="s">
        <v>41</v>
      </c>
      <c r="C294" t="s">
        <v>61</v>
      </c>
      <c r="D294" t="s">
        <v>22</v>
      </c>
      <c r="E294">
        <v>2</v>
      </c>
      <c r="F294">
        <v>4</v>
      </c>
      <c r="G294" t="s">
        <v>45</v>
      </c>
      <c r="H294" t="s">
        <v>17</v>
      </c>
      <c r="I294">
        <v>9.9</v>
      </c>
      <c r="J294">
        <v>8.3000000000000007</v>
      </c>
      <c r="K294">
        <v>9.1999999999999993</v>
      </c>
      <c r="L294">
        <v>31</v>
      </c>
      <c r="M294">
        <v>212</v>
      </c>
      <c r="O294">
        <f t="shared" si="8"/>
        <v>424</v>
      </c>
      <c r="P294">
        <f t="shared" si="9"/>
        <v>4</v>
      </c>
    </row>
    <row r="295" spans="1:16" x14ac:dyDescent="0.25">
      <c r="A295">
        <v>2014</v>
      </c>
      <c r="B295" t="s">
        <v>90</v>
      </c>
      <c r="C295" t="s">
        <v>123</v>
      </c>
      <c r="D295" t="s">
        <v>56</v>
      </c>
      <c r="E295">
        <v>3</v>
      </c>
      <c r="F295">
        <v>6</v>
      </c>
      <c r="G295" t="s">
        <v>53</v>
      </c>
      <c r="H295" t="s">
        <v>17</v>
      </c>
      <c r="I295">
        <v>10.5</v>
      </c>
      <c r="J295">
        <v>7.6</v>
      </c>
      <c r="K295">
        <v>9.1999999999999993</v>
      </c>
      <c r="L295">
        <v>31</v>
      </c>
      <c r="M295">
        <v>212</v>
      </c>
      <c r="O295">
        <f t="shared" si="8"/>
        <v>636</v>
      </c>
      <c r="P295">
        <f t="shared" si="9"/>
        <v>9</v>
      </c>
    </row>
    <row r="296" spans="1:16" x14ac:dyDescent="0.25">
      <c r="A296">
        <v>2014</v>
      </c>
      <c r="B296" t="s">
        <v>141</v>
      </c>
      <c r="C296" t="s">
        <v>146</v>
      </c>
      <c r="D296" t="s">
        <v>22</v>
      </c>
      <c r="E296">
        <v>1.4</v>
      </c>
      <c r="F296">
        <v>4</v>
      </c>
      <c r="G296" t="s">
        <v>23</v>
      </c>
      <c r="H296" t="s">
        <v>143</v>
      </c>
      <c r="I296">
        <v>10.199999999999999</v>
      </c>
      <c r="J296">
        <v>8</v>
      </c>
      <c r="K296">
        <v>9.1999999999999993</v>
      </c>
      <c r="L296">
        <v>31</v>
      </c>
      <c r="M296">
        <v>212</v>
      </c>
      <c r="O296">
        <f t="shared" si="8"/>
        <v>296.79999999999995</v>
      </c>
      <c r="P296">
        <f t="shared" si="9"/>
        <v>1.9599999999999997</v>
      </c>
    </row>
    <row r="297" spans="1:16" x14ac:dyDescent="0.25">
      <c r="A297">
        <v>2014</v>
      </c>
      <c r="B297" t="s">
        <v>232</v>
      </c>
      <c r="C297" t="s">
        <v>248</v>
      </c>
      <c r="D297" t="s">
        <v>26</v>
      </c>
      <c r="E297">
        <v>2.4</v>
      </c>
      <c r="F297">
        <v>4</v>
      </c>
      <c r="G297" t="s">
        <v>33</v>
      </c>
      <c r="H297" t="s">
        <v>143</v>
      </c>
      <c r="I297">
        <v>10.6</v>
      </c>
      <c r="J297">
        <v>7.5</v>
      </c>
      <c r="K297">
        <v>9.1999999999999993</v>
      </c>
      <c r="L297">
        <v>31</v>
      </c>
      <c r="M297">
        <v>212</v>
      </c>
      <c r="O297">
        <f t="shared" si="8"/>
        <v>508.79999999999995</v>
      </c>
      <c r="P297">
        <f t="shared" si="9"/>
        <v>5.76</v>
      </c>
    </row>
    <row r="298" spans="1:16" x14ac:dyDescent="0.25">
      <c r="A298">
        <v>2014</v>
      </c>
      <c r="B298" t="s">
        <v>414</v>
      </c>
      <c r="C298" t="s">
        <v>422</v>
      </c>
      <c r="D298" t="s">
        <v>423</v>
      </c>
      <c r="E298">
        <v>2</v>
      </c>
      <c r="F298">
        <v>4</v>
      </c>
      <c r="G298" t="s">
        <v>33</v>
      </c>
      <c r="H298" t="s">
        <v>143</v>
      </c>
      <c r="I298">
        <v>10.5</v>
      </c>
      <c r="J298">
        <v>7.5</v>
      </c>
      <c r="K298">
        <v>9.1999999999999993</v>
      </c>
      <c r="L298">
        <v>31</v>
      </c>
      <c r="M298">
        <v>212</v>
      </c>
      <c r="O298">
        <f t="shared" si="8"/>
        <v>424</v>
      </c>
      <c r="P298">
        <f t="shared" si="9"/>
        <v>4</v>
      </c>
    </row>
    <row r="299" spans="1:16" x14ac:dyDescent="0.25">
      <c r="A299">
        <v>2014</v>
      </c>
      <c r="B299" t="s">
        <v>506</v>
      </c>
      <c r="C299" t="s">
        <v>520</v>
      </c>
      <c r="D299" t="s">
        <v>15</v>
      </c>
      <c r="E299">
        <v>2</v>
      </c>
      <c r="F299">
        <v>4</v>
      </c>
      <c r="G299" t="s">
        <v>360</v>
      </c>
      <c r="H299" t="s">
        <v>17</v>
      </c>
      <c r="I299">
        <v>10.3</v>
      </c>
      <c r="J299">
        <v>7.8</v>
      </c>
      <c r="K299">
        <v>9.1999999999999993</v>
      </c>
      <c r="L299">
        <v>31</v>
      </c>
      <c r="M299">
        <v>212</v>
      </c>
      <c r="O299">
        <f t="shared" si="8"/>
        <v>424</v>
      </c>
      <c r="P299">
        <f t="shared" si="9"/>
        <v>4</v>
      </c>
    </row>
    <row r="300" spans="1:16" x14ac:dyDescent="0.25">
      <c r="A300">
        <v>2014</v>
      </c>
      <c r="B300" t="s">
        <v>618</v>
      </c>
      <c r="C300" t="s">
        <v>632</v>
      </c>
      <c r="D300" t="s">
        <v>37</v>
      </c>
      <c r="E300">
        <v>2.7</v>
      </c>
      <c r="F300">
        <v>6</v>
      </c>
      <c r="G300" t="s">
        <v>38</v>
      </c>
      <c r="H300" t="s">
        <v>17</v>
      </c>
      <c r="I300">
        <v>10.7</v>
      </c>
      <c r="J300">
        <v>7.4</v>
      </c>
      <c r="K300">
        <v>9.1999999999999993</v>
      </c>
      <c r="L300">
        <v>31</v>
      </c>
      <c r="M300">
        <v>212</v>
      </c>
      <c r="O300">
        <f t="shared" si="8"/>
        <v>572.40000000000009</v>
      </c>
      <c r="P300">
        <f t="shared" si="9"/>
        <v>7.2900000000000009</v>
      </c>
    </row>
    <row r="301" spans="1:16" x14ac:dyDescent="0.25">
      <c r="A301">
        <v>2014</v>
      </c>
      <c r="B301" t="s">
        <v>618</v>
      </c>
      <c r="C301" t="s">
        <v>640</v>
      </c>
      <c r="D301" t="s">
        <v>37</v>
      </c>
      <c r="E301">
        <v>2.7</v>
      </c>
      <c r="F301">
        <v>6</v>
      </c>
      <c r="G301" t="s">
        <v>38</v>
      </c>
      <c r="H301" t="s">
        <v>17</v>
      </c>
      <c r="I301">
        <v>10.7</v>
      </c>
      <c r="J301">
        <v>7.4</v>
      </c>
      <c r="K301">
        <v>9.1999999999999993</v>
      </c>
      <c r="L301">
        <v>31</v>
      </c>
      <c r="M301">
        <v>212</v>
      </c>
      <c r="O301">
        <f t="shared" si="8"/>
        <v>572.40000000000009</v>
      </c>
      <c r="P301">
        <f t="shared" si="9"/>
        <v>7.2900000000000009</v>
      </c>
    </row>
    <row r="302" spans="1:16" x14ac:dyDescent="0.25">
      <c r="A302">
        <v>2014</v>
      </c>
      <c r="B302" t="s">
        <v>681</v>
      </c>
      <c r="C302" t="s">
        <v>689</v>
      </c>
      <c r="D302" t="s">
        <v>22</v>
      </c>
      <c r="E302">
        <v>2</v>
      </c>
      <c r="F302">
        <v>4</v>
      </c>
      <c r="G302" t="s">
        <v>126</v>
      </c>
      <c r="H302" t="s">
        <v>143</v>
      </c>
      <c r="I302">
        <v>10.199999999999999</v>
      </c>
      <c r="J302">
        <v>8</v>
      </c>
      <c r="K302">
        <v>9.1999999999999993</v>
      </c>
      <c r="L302">
        <v>31</v>
      </c>
      <c r="M302">
        <v>212</v>
      </c>
      <c r="O302">
        <f t="shared" si="8"/>
        <v>424</v>
      </c>
      <c r="P302">
        <f t="shared" si="9"/>
        <v>4</v>
      </c>
    </row>
    <row r="303" spans="1:16" x14ac:dyDescent="0.25">
      <c r="A303">
        <v>2014</v>
      </c>
      <c r="B303" t="s">
        <v>723</v>
      </c>
      <c r="C303" t="s">
        <v>733</v>
      </c>
      <c r="D303" t="s">
        <v>15</v>
      </c>
      <c r="E303">
        <v>2</v>
      </c>
      <c r="F303">
        <v>4</v>
      </c>
      <c r="G303" t="s">
        <v>18</v>
      </c>
      <c r="H303" t="s">
        <v>17</v>
      </c>
      <c r="I303">
        <v>10.6</v>
      </c>
      <c r="J303">
        <v>7.4</v>
      </c>
      <c r="K303">
        <v>9.1999999999999993</v>
      </c>
      <c r="L303">
        <v>31</v>
      </c>
      <c r="M303">
        <v>212</v>
      </c>
      <c r="O303">
        <f t="shared" si="8"/>
        <v>424</v>
      </c>
      <c r="P303">
        <f t="shared" si="9"/>
        <v>4</v>
      </c>
    </row>
    <row r="304" spans="1:16" x14ac:dyDescent="0.25">
      <c r="A304">
        <v>2014</v>
      </c>
      <c r="B304" t="s">
        <v>41</v>
      </c>
      <c r="C304" t="s">
        <v>44</v>
      </c>
      <c r="D304" t="s">
        <v>15</v>
      </c>
      <c r="E304">
        <v>2</v>
      </c>
      <c r="F304">
        <v>4</v>
      </c>
      <c r="G304" t="s">
        <v>18</v>
      </c>
      <c r="H304" t="s">
        <v>17</v>
      </c>
      <c r="I304">
        <v>10.8</v>
      </c>
      <c r="J304">
        <v>7.5</v>
      </c>
      <c r="K304">
        <v>9.3000000000000007</v>
      </c>
      <c r="L304">
        <v>30</v>
      </c>
      <c r="M304">
        <v>214</v>
      </c>
      <c r="O304">
        <f t="shared" si="8"/>
        <v>428</v>
      </c>
      <c r="P304">
        <f t="shared" si="9"/>
        <v>4</v>
      </c>
    </row>
    <row r="305" spans="1:16" x14ac:dyDescent="0.25">
      <c r="A305">
        <v>2014</v>
      </c>
      <c r="B305" t="s">
        <v>41</v>
      </c>
      <c r="C305" t="s">
        <v>47</v>
      </c>
      <c r="D305" t="s">
        <v>35</v>
      </c>
      <c r="E305">
        <v>2</v>
      </c>
      <c r="F305">
        <v>4</v>
      </c>
      <c r="G305" t="s">
        <v>18</v>
      </c>
      <c r="H305" t="s">
        <v>17</v>
      </c>
      <c r="I305">
        <v>10.8</v>
      </c>
      <c r="J305">
        <v>7.5</v>
      </c>
      <c r="K305">
        <v>9.3000000000000007</v>
      </c>
      <c r="L305">
        <v>30</v>
      </c>
      <c r="M305">
        <v>214</v>
      </c>
      <c r="O305">
        <f t="shared" si="8"/>
        <v>428</v>
      </c>
      <c r="P305">
        <f t="shared" si="9"/>
        <v>4</v>
      </c>
    </row>
    <row r="306" spans="1:16" x14ac:dyDescent="0.25">
      <c r="A306">
        <v>2014</v>
      </c>
      <c r="B306" t="s">
        <v>90</v>
      </c>
      <c r="C306" t="s">
        <v>122</v>
      </c>
      <c r="D306" t="s">
        <v>26</v>
      </c>
      <c r="E306">
        <v>3</v>
      </c>
      <c r="F306">
        <v>6</v>
      </c>
      <c r="G306" t="s">
        <v>53</v>
      </c>
      <c r="H306" t="s">
        <v>17</v>
      </c>
      <c r="I306">
        <v>10.5</v>
      </c>
      <c r="J306">
        <v>7.9</v>
      </c>
      <c r="K306">
        <v>9.3000000000000007</v>
      </c>
      <c r="L306">
        <v>30</v>
      </c>
      <c r="M306">
        <v>214</v>
      </c>
      <c r="O306">
        <f t="shared" si="8"/>
        <v>642</v>
      </c>
      <c r="P306">
        <f t="shared" si="9"/>
        <v>9</v>
      </c>
    </row>
    <row r="307" spans="1:16" x14ac:dyDescent="0.25">
      <c r="A307">
        <v>2014</v>
      </c>
      <c r="B307" t="s">
        <v>265</v>
      </c>
      <c r="C307" t="s">
        <v>274</v>
      </c>
      <c r="D307" t="s">
        <v>22</v>
      </c>
      <c r="E307">
        <v>1.6</v>
      </c>
      <c r="F307">
        <v>4</v>
      </c>
      <c r="G307" t="s">
        <v>23</v>
      </c>
      <c r="H307" t="s">
        <v>143</v>
      </c>
      <c r="I307">
        <v>10.5</v>
      </c>
      <c r="J307">
        <v>7.9</v>
      </c>
      <c r="K307">
        <v>9.3000000000000007</v>
      </c>
      <c r="L307">
        <v>30</v>
      </c>
      <c r="M307">
        <v>214</v>
      </c>
      <c r="O307">
        <f t="shared" si="8"/>
        <v>342.40000000000003</v>
      </c>
      <c r="P307">
        <f t="shared" si="9"/>
        <v>2.5600000000000005</v>
      </c>
    </row>
    <row r="308" spans="1:16" x14ac:dyDescent="0.25">
      <c r="A308">
        <v>2014</v>
      </c>
      <c r="B308" t="s">
        <v>342</v>
      </c>
      <c r="C308" t="s">
        <v>354</v>
      </c>
      <c r="D308" t="s">
        <v>22</v>
      </c>
      <c r="E308">
        <v>2</v>
      </c>
      <c r="F308">
        <v>4</v>
      </c>
      <c r="G308" t="s">
        <v>33</v>
      </c>
      <c r="H308" t="s">
        <v>143</v>
      </c>
      <c r="I308">
        <v>10.199999999999999</v>
      </c>
      <c r="J308">
        <v>8.1999999999999993</v>
      </c>
      <c r="K308">
        <v>9.3000000000000007</v>
      </c>
      <c r="L308">
        <v>30</v>
      </c>
      <c r="M308">
        <v>214</v>
      </c>
      <c r="O308">
        <f t="shared" si="8"/>
        <v>428</v>
      </c>
      <c r="P308">
        <f t="shared" si="9"/>
        <v>4</v>
      </c>
    </row>
    <row r="309" spans="1:16" x14ac:dyDescent="0.25">
      <c r="A309">
        <v>2014</v>
      </c>
      <c r="B309" t="s">
        <v>414</v>
      </c>
      <c r="C309" t="s">
        <v>422</v>
      </c>
      <c r="D309" t="s">
        <v>423</v>
      </c>
      <c r="E309">
        <v>2</v>
      </c>
      <c r="F309">
        <v>4</v>
      </c>
      <c r="G309" t="s">
        <v>18</v>
      </c>
      <c r="H309" t="s">
        <v>143</v>
      </c>
      <c r="I309">
        <v>10.8</v>
      </c>
      <c r="J309">
        <v>7.4</v>
      </c>
      <c r="K309">
        <v>9.3000000000000007</v>
      </c>
      <c r="L309">
        <v>30</v>
      </c>
      <c r="M309">
        <v>214</v>
      </c>
      <c r="O309">
        <f t="shared" si="8"/>
        <v>428</v>
      </c>
      <c r="P309">
        <f t="shared" si="9"/>
        <v>4</v>
      </c>
    </row>
    <row r="310" spans="1:16" x14ac:dyDescent="0.25">
      <c r="A310">
        <v>2014</v>
      </c>
      <c r="B310" t="s">
        <v>593</v>
      </c>
      <c r="C310" t="s">
        <v>596</v>
      </c>
      <c r="D310" t="s">
        <v>26</v>
      </c>
      <c r="E310">
        <v>3.5</v>
      </c>
      <c r="F310">
        <v>6</v>
      </c>
      <c r="G310" t="s">
        <v>209</v>
      </c>
      <c r="H310" t="s">
        <v>143</v>
      </c>
      <c r="I310">
        <v>10.8</v>
      </c>
      <c r="J310">
        <v>7.4</v>
      </c>
      <c r="K310">
        <v>9.3000000000000007</v>
      </c>
      <c r="L310">
        <v>30</v>
      </c>
      <c r="M310">
        <v>214</v>
      </c>
      <c r="O310">
        <f t="shared" si="8"/>
        <v>749</v>
      </c>
      <c r="P310">
        <f t="shared" si="9"/>
        <v>12.25</v>
      </c>
    </row>
    <row r="311" spans="1:16" x14ac:dyDescent="0.25">
      <c r="A311">
        <v>2014</v>
      </c>
      <c r="B311" t="s">
        <v>593</v>
      </c>
      <c r="C311" t="s">
        <v>606</v>
      </c>
      <c r="D311" t="s">
        <v>305</v>
      </c>
      <c r="E311">
        <v>2</v>
      </c>
      <c r="F311">
        <v>4</v>
      </c>
      <c r="G311" t="s">
        <v>209</v>
      </c>
      <c r="H311" t="s">
        <v>143</v>
      </c>
      <c r="I311">
        <v>10</v>
      </c>
      <c r="J311">
        <v>8.5</v>
      </c>
      <c r="K311">
        <v>9.3000000000000007</v>
      </c>
      <c r="L311">
        <v>30</v>
      </c>
      <c r="M311">
        <v>214</v>
      </c>
      <c r="O311">
        <f t="shared" si="8"/>
        <v>428</v>
      </c>
      <c r="P311">
        <f t="shared" si="9"/>
        <v>4</v>
      </c>
    </row>
    <row r="312" spans="1:16" x14ac:dyDescent="0.25">
      <c r="A312">
        <v>2014</v>
      </c>
      <c r="B312" t="s">
        <v>723</v>
      </c>
      <c r="C312" t="s">
        <v>725</v>
      </c>
      <c r="D312" t="s">
        <v>35</v>
      </c>
      <c r="E312">
        <v>2</v>
      </c>
      <c r="F312">
        <v>4</v>
      </c>
      <c r="G312" t="s">
        <v>33</v>
      </c>
      <c r="H312" t="s">
        <v>17</v>
      </c>
      <c r="I312">
        <v>10.3</v>
      </c>
      <c r="J312">
        <v>8.1</v>
      </c>
      <c r="K312">
        <v>9.3000000000000007</v>
      </c>
      <c r="L312">
        <v>30</v>
      </c>
      <c r="M312">
        <v>214</v>
      </c>
      <c r="O312">
        <f t="shared" si="8"/>
        <v>428</v>
      </c>
      <c r="P312">
        <f t="shared" si="9"/>
        <v>4</v>
      </c>
    </row>
    <row r="313" spans="1:16" x14ac:dyDescent="0.25">
      <c r="A313">
        <v>2014</v>
      </c>
      <c r="B313" t="s">
        <v>265</v>
      </c>
      <c r="C313" t="s">
        <v>273</v>
      </c>
      <c r="D313" t="s">
        <v>22</v>
      </c>
      <c r="E313">
        <v>2.5</v>
      </c>
      <c r="F313">
        <v>4</v>
      </c>
      <c r="G313" t="s">
        <v>23</v>
      </c>
      <c r="H313" t="s">
        <v>143</v>
      </c>
      <c r="I313">
        <v>10.9</v>
      </c>
      <c r="J313">
        <v>7.5</v>
      </c>
      <c r="K313">
        <v>9.4</v>
      </c>
      <c r="L313">
        <v>30</v>
      </c>
      <c r="M313">
        <v>216</v>
      </c>
      <c r="O313">
        <f t="shared" si="8"/>
        <v>540</v>
      </c>
      <c r="P313">
        <f t="shared" si="9"/>
        <v>6.25</v>
      </c>
    </row>
    <row r="314" spans="1:16" x14ac:dyDescent="0.25">
      <c r="A314">
        <v>2014</v>
      </c>
      <c r="B314" t="s">
        <v>265</v>
      </c>
      <c r="C314" t="s">
        <v>296</v>
      </c>
      <c r="D314" t="s">
        <v>26</v>
      </c>
      <c r="E314">
        <v>2</v>
      </c>
      <c r="F314">
        <v>4</v>
      </c>
      <c r="G314" t="s">
        <v>23</v>
      </c>
      <c r="H314" t="s">
        <v>143</v>
      </c>
      <c r="I314">
        <v>10.9</v>
      </c>
      <c r="J314">
        <v>7.5</v>
      </c>
      <c r="K314">
        <v>9.4</v>
      </c>
      <c r="L314">
        <v>30</v>
      </c>
      <c r="M314">
        <v>216</v>
      </c>
      <c r="O314">
        <f t="shared" si="8"/>
        <v>432</v>
      </c>
      <c r="P314">
        <f t="shared" si="9"/>
        <v>4</v>
      </c>
    </row>
    <row r="315" spans="1:16" x14ac:dyDescent="0.25">
      <c r="A315">
        <v>2014</v>
      </c>
      <c r="B315" t="s">
        <v>329</v>
      </c>
      <c r="C315" t="s">
        <v>335</v>
      </c>
      <c r="D315" t="s">
        <v>22</v>
      </c>
      <c r="E315">
        <v>2.4</v>
      </c>
      <c r="F315">
        <v>4</v>
      </c>
      <c r="G315" t="s">
        <v>224</v>
      </c>
      <c r="H315" t="s">
        <v>143</v>
      </c>
      <c r="I315">
        <v>10.6</v>
      </c>
      <c r="J315">
        <v>7.9</v>
      </c>
      <c r="K315">
        <v>9.4</v>
      </c>
      <c r="L315">
        <v>30</v>
      </c>
      <c r="M315">
        <v>216</v>
      </c>
      <c r="O315">
        <f t="shared" si="8"/>
        <v>518.4</v>
      </c>
      <c r="P315">
        <f t="shared" si="9"/>
        <v>5.76</v>
      </c>
    </row>
    <row r="316" spans="1:16" x14ac:dyDescent="0.25">
      <c r="A316">
        <v>2014</v>
      </c>
      <c r="B316" t="s">
        <v>396</v>
      </c>
      <c r="C316" t="s">
        <v>402</v>
      </c>
      <c r="D316" t="s">
        <v>22</v>
      </c>
      <c r="E316">
        <v>2.4</v>
      </c>
      <c r="F316">
        <v>4</v>
      </c>
      <c r="G316" t="s">
        <v>126</v>
      </c>
      <c r="H316" t="s">
        <v>143</v>
      </c>
      <c r="I316">
        <v>10.3</v>
      </c>
      <c r="J316">
        <v>8.3000000000000007</v>
      </c>
      <c r="K316">
        <v>9.4</v>
      </c>
      <c r="L316">
        <v>30</v>
      </c>
      <c r="M316">
        <v>216</v>
      </c>
      <c r="O316">
        <f t="shared" si="8"/>
        <v>518.4</v>
      </c>
      <c r="P316">
        <f t="shared" si="9"/>
        <v>5.76</v>
      </c>
    </row>
    <row r="317" spans="1:16" x14ac:dyDescent="0.25">
      <c r="A317">
        <v>2014</v>
      </c>
      <c r="B317" t="s">
        <v>396</v>
      </c>
      <c r="C317" t="s">
        <v>403</v>
      </c>
      <c r="D317" t="s">
        <v>22</v>
      </c>
      <c r="E317">
        <v>2.4</v>
      </c>
      <c r="F317">
        <v>4</v>
      </c>
      <c r="G317" t="s">
        <v>126</v>
      </c>
      <c r="H317" t="s">
        <v>143</v>
      </c>
      <c r="I317">
        <v>10.3</v>
      </c>
      <c r="J317">
        <v>8.4</v>
      </c>
      <c r="K317">
        <v>9.4</v>
      </c>
      <c r="L317">
        <v>30</v>
      </c>
      <c r="M317">
        <v>216</v>
      </c>
      <c r="O317">
        <f t="shared" si="8"/>
        <v>518.4</v>
      </c>
      <c r="P317">
        <f t="shared" si="9"/>
        <v>5.76</v>
      </c>
    </row>
    <row r="318" spans="1:16" x14ac:dyDescent="0.25">
      <c r="A318">
        <v>2014</v>
      </c>
      <c r="B318" t="s">
        <v>396</v>
      </c>
      <c r="C318" t="s">
        <v>409</v>
      </c>
      <c r="D318" t="s">
        <v>22</v>
      </c>
      <c r="E318">
        <v>2.4</v>
      </c>
      <c r="F318">
        <v>4</v>
      </c>
      <c r="G318" t="s">
        <v>126</v>
      </c>
      <c r="H318" t="s">
        <v>143</v>
      </c>
      <c r="I318">
        <v>10.3</v>
      </c>
      <c r="J318">
        <v>8.3000000000000007</v>
      </c>
      <c r="K318">
        <v>9.4</v>
      </c>
      <c r="L318">
        <v>30</v>
      </c>
      <c r="M318">
        <v>216</v>
      </c>
      <c r="O318">
        <f t="shared" si="8"/>
        <v>518.4</v>
      </c>
      <c r="P318">
        <f t="shared" si="9"/>
        <v>5.76</v>
      </c>
    </row>
    <row r="319" spans="1:16" x14ac:dyDescent="0.25">
      <c r="A319">
        <v>2014</v>
      </c>
      <c r="B319" t="s">
        <v>396</v>
      </c>
      <c r="C319" t="s">
        <v>410</v>
      </c>
      <c r="D319" t="s">
        <v>22</v>
      </c>
      <c r="E319">
        <v>2.4</v>
      </c>
      <c r="F319">
        <v>4</v>
      </c>
      <c r="G319" t="s">
        <v>126</v>
      </c>
      <c r="H319" t="s">
        <v>143</v>
      </c>
      <c r="I319">
        <v>10.3</v>
      </c>
      <c r="J319">
        <v>8.4</v>
      </c>
      <c r="K319">
        <v>9.4</v>
      </c>
      <c r="L319">
        <v>30</v>
      </c>
      <c r="M319">
        <v>216</v>
      </c>
      <c r="O319">
        <f t="shared" si="8"/>
        <v>518.4</v>
      </c>
      <c r="P319">
        <f t="shared" si="9"/>
        <v>5.76</v>
      </c>
    </row>
    <row r="320" spans="1:16" x14ac:dyDescent="0.25">
      <c r="A320">
        <v>2014</v>
      </c>
      <c r="B320" t="s">
        <v>414</v>
      </c>
      <c r="C320" t="s">
        <v>418</v>
      </c>
      <c r="D320" t="s">
        <v>15</v>
      </c>
      <c r="E320">
        <v>1.6</v>
      </c>
      <c r="F320">
        <v>4</v>
      </c>
      <c r="G320" t="s">
        <v>33</v>
      </c>
      <c r="H320" t="s">
        <v>143</v>
      </c>
      <c r="I320">
        <v>10.6</v>
      </c>
      <c r="J320">
        <v>7.9</v>
      </c>
      <c r="K320">
        <v>9.4</v>
      </c>
      <c r="L320">
        <v>30</v>
      </c>
      <c r="M320">
        <v>216</v>
      </c>
      <c r="O320">
        <f t="shared" si="8"/>
        <v>345.6</v>
      </c>
      <c r="P320">
        <f t="shared" si="9"/>
        <v>2.5600000000000005</v>
      </c>
    </row>
    <row r="321" spans="1:16" x14ac:dyDescent="0.25">
      <c r="A321">
        <v>2014</v>
      </c>
      <c r="B321" t="s">
        <v>506</v>
      </c>
      <c r="C321" t="s">
        <v>508</v>
      </c>
      <c r="D321" t="s">
        <v>15</v>
      </c>
      <c r="E321">
        <v>1.8</v>
      </c>
      <c r="F321">
        <v>4</v>
      </c>
      <c r="G321" t="s">
        <v>360</v>
      </c>
      <c r="H321" t="s">
        <v>17</v>
      </c>
      <c r="I321">
        <v>10.9</v>
      </c>
      <c r="J321">
        <v>7.5</v>
      </c>
      <c r="K321">
        <v>9.4</v>
      </c>
      <c r="L321">
        <v>30</v>
      </c>
      <c r="M321">
        <v>216</v>
      </c>
      <c r="O321">
        <f t="shared" si="8"/>
        <v>388.8</v>
      </c>
      <c r="P321">
        <f t="shared" si="9"/>
        <v>3.24</v>
      </c>
    </row>
    <row r="322" spans="1:16" x14ac:dyDescent="0.25">
      <c r="A322">
        <v>2014</v>
      </c>
      <c r="B322" t="s">
        <v>506</v>
      </c>
      <c r="C322" t="s">
        <v>509</v>
      </c>
      <c r="D322" t="s">
        <v>35</v>
      </c>
      <c r="E322">
        <v>1.8</v>
      </c>
      <c r="F322">
        <v>4</v>
      </c>
      <c r="G322" t="s">
        <v>360</v>
      </c>
      <c r="H322" t="s">
        <v>17</v>
      </c>
      <c r="I322">
        <v>11</v>
      </c>
      <c r="J322">
        <v>7.4</v>
      </c>
      <c r="K322">
        <v>9.4</v>
      </c>
      <c r="L322">
        <v>30</v>
      </c>
      <c r="M322">
        <v>216</v>
      </c>
      <c r="O322">
        <f t="shared" si="8"/>
        <v>388.8</v>
      </c>
      <c r="P322">
        <f t="shared" si="9"/>
        <v>3.24</v>
      </c>
    </row>
    <row r="323" spans="1:16" x14ac:dyDescent="0.25">
      <c r="A323">
        <v>2014</v>
      </c>
      <c r="B323" t="s">
        <v>691</v>
      </c>
      <c r="C323" t="s">
        <v>711</v>
      </c>
      <c r="D323" t="s">
        <v>22</v>
      </c>
      <c r="E323">
        <v>2.5</v>
      </c>
      <c r="F323">
        <v>4</v>
      </c>
      <c r="G323" t="s">
        <v>23</v>
      </c>
      <c r="H323" t="s">
        <v>143</v>
      </c>
      <c r="I323">
        <v>10.4</v>
      </c>
      <c r="J323">
        <v>8.1</v>
      </c>
      <c r="K323">
        <v>9.4</v>
      </c>
      <c r="L323">
        <v>30</v>
      </c>
      <c r="M323">
        <v>216</v>
      </c>
      <c r="O323">
        <f t="shared" ref="O323:O386" si="10">M323*E323</f>
        <v>540</v>
      </c>
      <c r="P323">
        <f t="shared" ref="P323:P386" si="11">E323*E323</f>
        <v>6.25</v>
      </c>
    </row>
    <row r="324" spans="1:16" x14ac:dyDescent="0.25">
      <c r="A324">
        <v>2014</v>
      </c>
      <c r="B324" t="s">
        <v>723</v>
      </c>
      <c r="C324" t="s">
        <v>724</v>
      </c>
      <c r="D324" t="s">
        <v>15</v>
      </c>
      <c r="E324">
        <v>2</v>
      </c>
      <c r="F324">
        <v>4</v>
      </c>
      <c r="G324" t="s">
        <v>18</v>
      </c>
      <c r="H324" t="s">
        <v>17</v>
      </c>
      <c r="I324">
        <v>10.8</v>
      </c>
      <c r="J324">
        <v>7.6</v>
      </c>
      <c r="K324">
        <v>9.4</v>
      </c>
      <c r="L324">
        <v>30</v>
      </c>
      <c r="M324">
        <v>216</v>
      </c>
      <c r="O324">
        <f t="shared" si="10"/>
        <v>432</v>
      </c>
      <c r="P324">
        <f t="shared" si="11"/>
        <v>4</v>
      </c>
    </row>
    <row r="325" spans="1:16" x14ac:dyDescent="0.25">
      <c r="A325">
        <v>2014</v>
      </c>
      <c r="B325" t="s">
        <v>723</v>
      </c>
      <c r="C325" t="s">
        <v>725</v>
      </c>
      <c r="D325" t="s">
        <v>35</v>
      </c>
      <c r="E325">
        <v>2</v>
      </c>
      <c r="F325">
        <v>4</v>
      </c>
      <c r="G325" t="s">
        <v>18</v>
      </c>
      <c r="H325" t="s">
        <v>17</v>
      </c>
      <c r="I325">
        <v>10.8</v>
      </c>
      <c r="J325">
        <v>7.6</v>
      </c>
      <c r="K325">
        <v>9.4</v>
      </c>
      <c r="L325">
        <v>30</v>
      </c>
      <c r="M325">
        <v>216</v>
      </c>
      <c r="O325">
        <f t="shared" si="10"/>
        <v>432</v>
      </c>
      <c r="P325">
        <f t="shared" si="11"/>
        <v>4</v>
      </c>
    </row>
    <row r="326" spans="1:16" x14ac:dyDescent="0.25">
      <c r="A326">
        <v>2014</v>
      </c>
      <c r="B326" t="s">
        <v>723</v>
      </c>
      <c r="C326" t="s">
        <v>730</v>
      </c>
      <c r="D326" t="s">
        <v>59</v>
      </c>
      <c r="E326">
        <v>2.5</v>
      </c>
      <c r="F326">
        <v>5</v>
      </c>
      <c r="G326" t="s">
        <v>126</v>
      </c>
      <c r="H326" t="s">
        <v>143</v>
      </c>
      <c r="I326">
        <v>11.2</v>
      </c>
      <c r="J326">
        <v>7.3</v>
      </c>
      <c r="K326">
        <v>9.4</v>
      </c>
      <c r="L326">
        <v>30</v>
      </c>
      <c r="M326">
        <v>216</v>
      </c>
      <c r="O326">
        <f t="shared" si="10"/>
        <v>540</v>
      </c>
      <c r="P326">
        <f t="shared" si="11"/>
        <v>6.25</v>
      </c>
    </row>
    <row r="327" spans="1:16" x14ac:dyDescent="0.25">
      <c r="A327">
        <v>2014</v>
      </c>
      <c r="B327" t="s">
        <v>723</v>
      </c>
      <c r="C327" t="s">
        <v>732</v>
      </c>
      <c r="D327" t="s">
        <v>15</v>
      </c>
      <c r="E327">
        <v>2</v>
      </c>
      <c r="F327">
        <v>4</v>
      </c>
      <c r="G327" t="s">
        <v>33</v>
      </c>
      <c r="H327" t="s">
        <v>143</v>
      </c>
      <c r="I327">
        <v>10.6</v>
      </c>
      <c r="J327">
        <v>8</v>
      </c>
      <c r="K327">
        <v>9.4</v>
      </c>
      <c r="L327">
        <v>30</v>
      </c>
      <c r="M327">
        <v>216</v>
      </c>
      <c r="O327">
        <f t="shared" si="10"/>
        <v>432</v>
      </c>
      <c r="P327">
        <f t="shared" si="11"/>
        <v>4</v>
      </c>
    </row>
    <row r="328" spans="1:16" x14ac:dyDescent="0.25">
      <c r="A328">
        <v>2014</v>
      </c>
      <c r="B328" t="s">
        <v>141</v>
      </c>
      <c r="C328" t="s">
        <v>154</v>
      </c>
      <c r="D328" t="s">
        <v>15</v>
      </c>
      <c r="E328">
        <v>2.4</v>
      </c>
      <c r="F328">
        <v>4</v>
      </c>
      <c r="G328" t="s">
        <v>23</v>
      </c>
      <c r="H328" t="s">
        <v>143</v>
      </c>
      <c r="I328">
        <v>11.3</v>
      </c>
      <c r="J328">
        <v>7.4</v>
      </c>
      <c r="K328">
        <v>9.5</v>
      </c>
      <c r="L328">
        <v>30</v>
      </c>
      <c r="M328">
        <v>218</v>
      </c>
      <c r="O328">
        <f t="shared" si="10"/>
        <v>523.19999999999993</v>
      </c>
      <c r="P328">
        <f t="shared" si="11"/>
        <v>5.76</v>
      </c>
    </row>
    <row r="329" spans="1:16" x14ac:dyDescent="0.25">
      <c r="A329">
        <v>2014</v>
      </c>
      <c r="B329" t="s">
        <v>265</v>
      </c>
      <c r="C329" t="s">
        <v>304</v>
      </c>
      <c r="D329" t="s">
        <v>305</v>
      </c>
      <c r="E329">
        <v>1.6</v>
      </c>
      <c r="F329">
        <v>4</v>
      </c>
      <c r="G329" t="s">
        <v>23</v>
      </c>
      <c r="H329" t="s">
        <v>143</v>
      </c>
      <c r="I329">
        <v>10.8</v>
      </c>
      <c r="J329">
        <v>8</v>
      </c>
      <c r="K329">
        <v>9.5</v>
      </c>
      <c r="L329">
        <v>30</v>
      </c>
      <c r="M329">
        <v>218</v>
      </c>
      <c r="O329">
        <f t="shared" si="10"/>
        <v>348.8</v>
      </c>
      <c r="P329">
        <f t="shared" si="11"/>
        <v>2.5600000000000005</v>
      </c>
    </row>
    <row r="330" spans="1:16" x14ac:dyDescent="0.25">
      <c r="A330">
        <v>2014</v>
      </c>
      <c r="B330" t="s">
        <v>396</v>
      </c>
      <c r="C330" t="s">
        <v>397</v>
      </c>
      <c r="D330" t="s">
        <v>22</v>
      </c>
      <c r="E330">
        <v>2.4</v>
      </c>
      <c r="F330">
        <v>4</v>
      </c>
      <c r="G330" t="s">
        <v>398</v>
      </c>
      <c r="H330" t="s">
        <v>143</v>
      </c>
      <c r="I330">
        <v>10.9</v>
      </c>
      <c r="J330">
        <v>7.7</v>
      </c>
      <c r="K330">
        <v>9.5</v>
      </c>
      <c r="L330">
        <v>30</v>
      </c>
      <c r="M330">
        <v>218</v>
      </c>
      <c r="O330">
        <f t="shared" si="10"/>
        <v>523.19999999999993</v>
      </c>
      <c r="P330">
        <f t="shared" si="11"/>
        <v>5.76</v>
      </c>
    </row>
    <row r="331" spans="1:16" x14ac:dyDescent="0.25">
      <c r="A331">
        <v>2014</v>
      </c>
      <c r="B331" t="s">
        <v>582</v>
      </c>
      <c r="C331" t="s">
        <v>584</v>
      </c>
      <c r="D331" t="s">
        <v>15</v>
      </c>
      <c r="E331">
        <v>2.4</v>
      </c>
      <c r="F331">
        <v>4</v>
      </c>
      <c r="G331" t="s">
        <v>453</v>
      </c>
      <c r="H331" t="s">
        <v>143</v>
      </c>
      <c r="I331">
        <v>10.5</v>
      </c>
      <c r="J331">
        <v>8.1999999999999993</v>
      </c>
      <c r="K331">
        <v>9.5</v>
      </c>
      <c r="L331">
        <v>30</v>
      </c>
      <c r="M331">
        <v>218</v>
      </c>
      <c r="O331">
        <f t="shared" si="10"/>
        <v>523.19999999999993</v>
      </c>
      <c r="P331">
        <f t="shared" si="11"/>
        <v>5.76</v>
      </c>
    </row>
    <row r="332" spans="1:16" x14ac:dyDescent="0.25">
      <c r="A332">
        <v>2014</v>
      </c>
      <c r="B332" t="s">
        <v>667</v>
      </c>
      <c r="C332" t="s">
        <v>668</v>
      </c>
      <c r="D332" t="s">
        <v>32</v>
      </c>
      <c r="E332">
        <v>2</v>
      </c>
      <c r="F332">
        <v>4</v>
      </c>
      <c r="G332" t="s">
        <v>18</v>
      </c>
      <c r="H332" t="s">
        <v>17</v>
      </c>
      <c r="I332">
        <v>10.9</v>
      </c>
      <c r="J332">
        <v>7.8</v>
      </c>
      <c r="K332">
        <v>9.5</v>
      </c>
      <c r="L332">
        <v>30</v>
      </c>
      <c r="M332">
        <v>218</v>
      </c>
      <c r="O332">
        <f t="shared" si="10"/>
        <v>436</v>
      </c>
      <c r="P332">
        <f t="shared" si="11"/>
        <v>4</v>
      </c>
    </row>
    <row r="333" spans="1:16" x14ac:dyDescent="0.25">
      <c r="A333">
        <v>2014</v>
      </c>
      <c r="B333" t="s">
        <v>681</v>
      </c>
      <c r="C333" t="s">
        <v>683</v>
      </c>
      <c r="D333" t="s">
        <v>22</v>
      </c>
      <c r="E333">
        <v>2</v>
      </c>
      <c r="F333">
        <v>4</v>
      </c>
      <c r="G333" t="s">
        <v>209</v>
      </c>
      <c r="H333" t="s">
        <v>17</v>
      </c>
      <c r="I333">
        <v>10.199999999999999</v>
      </c>
      <c r="J333">
        <v>8.6</v>
      </c>
      <c r="K333">
        <v>9.5</v>
      </c>
      <c r="L333">
        <v>30</v>
      </c>
      <c r="M333">
        <v>218</v>
      </c>
      <c r="O333">
        <f t="shared" si="10"/>
        <v>436</v>
      </c>
      <c r="P333">
        <f t="shared" si="11"/>
        <v>4</v>
      </c>
    </row>
    <row r="334" spans="1:16" x14ac:dyDescent="0.25">
      <c r="A334">
        <v>2014</v>
      </c>
      <c r="B334" t="s">
        <v>691</v>
      </c>
      <c r="C334" t="s">
        <v>712</v>
      </c>
      <c r="D334" t="s">
        <v>22</v>
      </c>
      <c r="E334">
        <v>2.5</v>
      </c>
      <c r="F334">
        <v>4</v>
      </c>
      <c r="G334" t="s">
        <v>23</v>
      </c>
      <c r="H334" t="s">
        <v>143</v>
      </c>
      <c r="I334">
        <v>10.6</v>
      </c>
      <c r="J334">
        <v>8.1999999999999993</v>
      </c>
      <c r="K334">
        <v>9.5</v>
      </c>
      <c r="L334">
        <v>30</v>
      </c>
      <c r="M334">
        <v>218</v>
      </c>
      <c r="O334">
        <f t="shared" si="10"/>
        <v>545</v>
      </c>
      <c r="P334">
        <f t="shared" si="11"/>
        <v>6.25</v>
      </c>
    </row>
    <row r="335" spans="1:16" x14ac:dyDescent="0.25">
      <c r="A335">
        <v>2014</v>
      </c>
      <c r="B335" t="s">
        <v>723</v>
      </c>
      <c r="C335" t="s">
        <v>730</v>
      </c>
      <c r="D335" t="s">
        <v>59</v>
      </c>
      <c r="E335">
        <v>2.5</v>
      </c>
      <c r="F335">
        <v>5</v>
      </c>
      <c r="G335" t="s">
        <v>33</v>
      </c>
      <c r="H335" t="s">
        <v>143</v>
      </c>
      <c r="I335">
        <v>11</v>
      </c>
      <c r="J335">
        <v>7.7</v>
      </c>
      <c r="K335">
        <v>9.5</v>
      </c>
      <c r="L335">
        <v>30</v>
      </c>
      <c r="M335">
        <v>218</v>
      </c>
      <c r="O335">
        <f t="shared" si="10"/>
        <v>545</v>
      </c>
      <c r="P335">
        <f t="shared" si="11"/>
        <v>6.25</v>
      </c>
    </row>
    <row r="336" spans="1:16" x14ac:dyDescent="0.25">
      <c r="A336">
        <v>2014</v>
      </c>
      <c r="B336" t="s">
        <v>13</v>
      </c>
      <c r="C336" t="s">
        <v>14</v>
      </c>
      <c r="D336" t="s">
        <v>15</v>
      </c>
      <c r="E336">
        <v>2.4</v>
      </c>
      <c r="F336">
        <v>4</v>
      </c>
      <c r="G336" t="s">
        <v>18</v>
      </c>
      <c r="H336" t="s">
        <v>17</v>
      </c>
      <c r="I336">
        <v>11.2</v>
      </c>
      <c r="J336">
        <v>7.7</v>
      </c>
      <c r="K336">
        <v>9.6</v>
      </c>
      <c r="L336">
        <v>29</v>
      </c>
      <c r="M336">
        <v>221</v>
      </c>
      <c r="O336">
        <f t="shared" si="10"/>
        <v>530.4</v>
      </c>
      <c r="P336">
        <f t="shared" si="11"/>
        <v>5.76</v>
      </c>
    </row>
    <row r="337" spans="1:16" x14ac:dyDescent="0.25">
      <c r="A337">
        <v>2014</v>
      </c>
      <c r="B337" t="s">
        <v>90</v>
      </c>
      <c r="C337" t="s">
        <v>99</v>
      </c>
      <c r="D337" t="s">
        <v>15</v>
      </c>
      <c r="E337">
        <v>3</v>
      </c>
      <c r="F337">
        <v>6</v>
      </c>
      <c r="G337" t="s">
        <v>53</v>
      </c>
      <c r="H337" t="s">
        <v>17</v>
      </c>
      <c r="I337">
        <v>11.4</v>
      </c>
      <c r="J337">
        <v>7.3</v>
      </c>
      <c r="K337">
        <v>9.6</v>
      </c>
      <c r="L337">
        <v>29</v>
      </c>
      <c r="M337">
        <v>221</v>
      </c>
      <c r="O337">
        <f t="shared" si="10"/>
        <v>663</v>
      </c>
      <c r="P337">
        <f t="shared" si="11"/>
        <v>9</v>
      </c>
    </row>
    <row r="338" spans="1:16" x14ac:dyDescent="0.25">
      <c r="A338">
        <v>2014</v>
      </c>
      <c r="B338" t="s">
        <v>90</v>
      </c>
      <c r="C338" t="s">
        <v>104</v>
      </c>
      <c r="D338" t="s">
        <v>15</v>
      </c>
      <c r="E338">
        <v>3</v>
      </c>
      <c r="F338">
        <v>6</v>
      </c>
      <c r="G338" t="s">
        <v>53</v>
      </c>
      <c r="H338" t="s">
        <v>17</v>
      </c>
      <c r="I338">
        <v>11.4</v>
      </c>
      <c r="J338">
        <v>7.3</v>
      </c>
      <c r="K338">
        <v>9.6</v>
      </c>
      <c r="L338">
        <v>29</v>
      </c>
      <c r="M338">
        <v>221</v>
      </c>
      <c r="O338">
        <f t="shared" si="10"/>
        <v>663</v>
      </c>
      <c r="P338">
        <f t="shared" si="11"/>
        <v>9</v>
      </c>
    </row>
    <row r="339" spans="1:16" x14ac:dyDescent="0.25">
      <c r="A339">
        <v>2014</v>
      </c>
      <c r="B339" t="s">
        <v>155</v>
      </c>
      <c r="C339" t="s">
        <v>156</v>
      </c>
      <c r="D339" t="s">
        <v>15</v>
      </c>
      <c r="E339">
        <v>2</v>
      </c>
      <c r="F339">
        <v>4</v>
      </c>
      <c r="G339" t="s">
        <v>23</v>
      </c>
      <c r="H339" t="s">
        <v>17</v>
      </c>
      <c r="I339">
        <v>11.3</v>
      </c>
      <c r="J339">
        <v>7.5</v>
      </c>
      <c r="K339">
        <v>9.6</v>
      </c>
      <c r="L339">
        <v>29</v>
      </c>
      <c r="M339">
        <v>221</v>
      </c>
      <c r="O339">
        <f t="shared" si="10"/>
        <v>442</v>
      </c>
      <c r="P339">
        <f t="shared" si="11"/>
        <v>4</v>
      </c>
    </row>
    <row r="340" spans="1:16" x14ac:dyDescent="0.25">
      <c r="A340">
        <v>2014</v>
      </c>
      <c r="B340" t="s">
        <v>175</v>
      </c>
      <c r="C340" t="s">
        <v>197</v>
      </c>
      <c r="D340" t="s">
        <v>56</v>
      </c>
      <c r="E340">
        <v>2.5</v>
      </c>
      <c r="F340">
        <v>4</v>
      </c>
      <c r="G340" t="s">
        <v>23</v>
      </c>
      <c r="H340" t="s">
        <v>143</v>
      </c>
      <c r="I340">
        <v>11.3</v>
      </c>
      <c r="J340">
        <v>7.5</v>
      </c>
      <c r="K340">
        <v>9.6</v>
      </c>
      <c r="L340">
        <v>29</v>
      </c>
      <c r="M340">
        <v>221</v>
      </c>
      <c r="O340">
        <f t="shared" si="10"/>
        <v>552.5</v>
      </c>
      <c r="P340">
        <f t="shared" si="11"/>
        <v>6.25</v>
      </c>
    </row>
    <row r="341" spans="1:16" x14ac:dyDescent="0.25">
      <c r="A341">
        <v>2014</v>
      </c>
      <c r="B341" t="s">
        <v>265</v>
      </c>
      <c r="C341" t="s">
        <v>273</v>
      </c>
      <c r="D341" t="s">
        <v>22</v>
      </c>
      <c r="E341">
        <v>2</v>
      </c>
      <c r="F341">
        <v>4</v>
      </c>
      <c r="G341" t="s">
        <v>23</v>
      </c>
      <c r="H341" t="s">
        <v>143</v>
      </c>
      <c r="I341">
        <v>10.9</v>
      </c>
      <c r="J341">
        <v>8</v>
      </c>
      <c r="K341">
        <v>9.6</v>
      </c>
      <c r="L341">
        <v>29</v>
      </c>
      <c r="M341">
        <v>221</v>
      </c>
      <c r="O341">
        <f t="shared" si="10"/>
        <v>442</v>
      </c>
      <c r="P341">
        <f t="shared" si="11"/>
        <v>4</v>
      </c>
    </row>
    <row r="342" spans="1:16" x14ac:dyDescent="0.25">
      <c r="A342">
        <v>2014</v>
      </c>
      <c r="B342" t="s">
        <v>329</v>
      </c>
      <c r="C342" t="s">
        <v>330</v>
      </c>
      <c r="D342" t="s">
        <v>26</v>
      </c>
      <c r="E342">
        <v>3.5</v>
      </c>
      <c r="F342">
        <v>6</v>
      </c>
      <c r="G342" t="s">
        <v>23</v>
      </c>
      <c r="H342" t="s">
        <v>143</v>
      </c>
      <c r="I342">
        <v>11.4</v>
      </c>
      <c r="J342">
        <v>7.3</v>
      </c>
      <c r="K342">
        <v>9.6</v>
      </c>
      <c r="L342">
        <v>29</v>
      </c>
      <c r="M342">
        <v>221</v>
      </c>
      <c r="O342">
        <f t="shared" si="10"/>
        <v>773.5</v>
      </c>
      <c r="P342">
        <f t="shared" si="11"/>
        <v>12.25</v>
      </c>
    </row>
    <row r="343" spans="1:16" x14ac:dyDescent="0.25">
      <c r="A343">
        <v>2014</v>
      </c>
      <c r="B343" t="s">
        <v>342</v>
      </c>
      <c r="C343" t="s">
        <v>351</v>
      </c>
      <c r="D343" t="s">
        <v>56</v>
      </c>
      <c r="E343">
        <v>2</v>
      </c>
      <c r="F343">
        <v>4</v>
      </c>
      <c r="G343" t="s">
        <v>33</v>
      </c>
      <c r="H343" t="s">
        <v>143</v>
      </c>
      <c r="I343">
        <v>11.4</v>
      </c>
      <c r="J343">
        <v>7.5</v>
      </c>
      <c r="K343">
        <v>9.6</v>
      </c>
      <c r="L343">
        <v>29</v>
      </c>
      <c r="M343">
        <v>221</v>
      </c>
      <c r="O343">
        <f t="shared" si="10"/>
        <v>442</v>
      </c>
      <c r="P343">
        <f t="shared" si="11"/>
        <v>4</v>
      </c>
    </row>
    <row r="344" spans="1:16" x14ac:dyDescent="0.25">
      <c r="A344">
        <v>2014</v>
      </c>
      <c r="B344" t="s">
        <v>414</v>
      </c>
      <c r="C344" t="s">
        <v>418</v>
      </c>
      <c r="D344" t="s">
        <v>15</v>
      </c>
      <c r="E344">
        <v>1.6</v>
      </c>
      <c r="F344">
        <v>4</v>
      </c>
      <c r="G344" t="s">
        <v>18</v>
      </c>
      <c r="H344" t="s">
        <v>143</v>
      </c>
      <c r="I344">
        <v>10.8</v>
      </c>
      <c r="J344">
        <v>8.1</v>
      </c>
      <c r="K344">
        <v>9.6</v>
      </c>
      <c r="L344">
        <v>29</v>
      </c>
      <c r="M344">
        <v>221</v>
      </c>
      <c r="O344">
        <f t="shared" si="10"/>
        <v>353.6</v>
      </c>
      <c r="P344">
        <f t="shared" si="11"/>
        <v>2.5600000000000005</v>
      </c>
    </row>
    <row r="345" spans="1:16" x14ac:dyDescent="0.25">
      <c r="A345">
        <v>2014</v>
      </c>
      <c r="B345" t="s">
        <v>450</v>
      </c>
      <c r="C345" t="s">
        <v>454</v>
      </c>
      <c r="D345" t="s">
        <v>26</v>
      </c>
      <c r="E345">
        <v>3.5</v>
      </c>
      <c r="F345">
        <v>6</v>
      </c>
      <c r="G345" t="s">
        <v>23</v>
      </c>
      <c r="H345" t="s">
        <v>143</v>
      </c>
      <c r="I345">
        <v>11.3</v>
      </c>
      <c r="J345">
        <v>7.6</v>
      </c>
      <c r="K345">
        <v>9.6</v>
      </c>
      <c r="L345">
        <v>29</v>
      </c>
      <c r="M345">
        <v>221</v>
      </c>
      <c r="O345">
        <f t="shared" si="10"/>
        <v>773.5</v>
      </c>
      <c r="P345">
        <f t="shared" si="11"/>
        <v>12.25</v>
      </c>
    </row>
    <row r="346" spans="1:16" x14ac:dyDescent="0.25">
      <c r="A346">
        <v>2014</v>
      </c>
      <c r="B346" t="s">
        <v>490</v>
      </c>
      <c r="C346" t="s">
        <v>505</v>
      </c>
      <c r="D346" t="s">
        <v>37</v>
      </c>
      <c r="E346">
        <v>2</v>
      </c>
      <c r="F346">
        <v>4</v>
      </c>
      <c r="G346" t="s">
        <v>126</v>
      </c>
      <c r="H346" t="s">
        <v>17</v>
      </c>
      <c r="I346">
        <v>10.5</v>
      </c>
      <c r="J346">
        <v>8.5</v>
      </c>
      <c r="K346">
        <v>9.6</v>
      </c>
      <c r="L346">
        <v>29</v>
      </c>
      <c r="M346">
        <v>221</v>
      </c>
      <c r="O346">
        <f t="shared" si="10"/>
        <v>442</v>
      </c>
      <c r="P346">
        <f t="shared" si="11"/>
        <v>4</v>
      </c>
    </row>
    <row r="347" spans="1:16" x14ac:dyDescent="0.25">
      <c r="A347">
        <v>2014</v>
      </c>
      <c r="B347" t="s">
        <v>681</v>
      </c>
      <c r="C347" t="s">
        <v>682</v>
      </c>
      <c r="D347" t="s">
        <v>32</v>
      </c>
      <c r="E347">
        <v>2</v>
      </c>
      <c r="F347">
        <v>4</v>
      </c>
      <c r="G347" t="s">
        <v>18</v>
      </c>
      <c r="H347" t="s">
        <v>17</v>
      </c>
      <c r="I347">
        <v>11</v>
      </c>
      <c r="J347">
        <v>7.9</v>
      </c>
      <c r="K347">
        <v>9.6</v>
      </c>
      <c r="L347">
        <v>29</v>
      </c>
      <c r="M347">
        <v>221</v>
      </c>
      <c r="O347">
        <f t="shared" si="10"/>
        <v>442</v>
      </c>
      <c r="P347">
        <f t="shared" si="11"/>
        <v>4</v>
      </c>
    </row>
    <row r="348" spans="1:16" x14ac:dyDescent="0.25">
      <c r="A348">
        <v>2014</v>
      </c>
      <c r="B348" t="s">
        <v>691</v>
      </c>
      <c r="C348" t="s">
        <v>694</v>
      </c>
      <c r="D348" t="s">
        <v>26</v>
      </c>
      <c r="E348">
        <v>3.5</v>
      </c>
      <c r="F348">
        <v>6</v>
      </c>
      <c r="G348" t="s">
        <v>23</v>
      </c>
      <c r="H348" t="s">
        <v>143</v>
      </c>
      <c r="I348">
        <v>11.3</v>
      </c>
      <c r="J348">
        <v>7.6</v>
      </c>
      <c r="K348">
        <v>9.6</v>
      </c>
      <c r="L348">
        <v>29</v>
      </c>
      <c r="M348">
        <v>221</v>
      </c>
      <c r="O348">
        <f t="shared" si="10"/>
        <v>773.5</v>
      </c>
      <c r="P348">
        <f t="shared" si="11"/>
        <v>12.25</v>
      </c>
    </row>
    <row r="349" spans="1:16" x14ac:dyDescent="0.25">
      <c r="A349">
        <v>2014</v>
      </c>
      <c r="B349" t="s">
        <v>691</v>
      </c>
      <c r="C349" t="s">
        <v>695</v>
      </c>
      <c r="D349" t="s">
        <v>26</v>
      </c>
      <c r="E349">
        <v>3.5</v>
      </c>
      <c r="F349">
        <v>6</v>
      </c>
      <c r="G349" t="s">
        <v>23</v>
      </c>
      <c r="H349" t="s">
        <v>143</v>
      </c>
      <c r="I349">
        <v>11.1</v>
      </c>
      <c r="J349">
        <v>7.8</v>
      </c>
      <c r="K349">
        <v>9.6</v>
      </c>
      <c r="L349">
        <v>29</v>
      </c>
      <c r="M349">
        <v>221</v>
      </c>
      <c r="O349">
        <f t="shared" si="10"/>
        <v>773.5</v>
      </c>
      <c r="P349">
        <f t="shared" si="11"/>
        <v>12.25</v>
      </c>
    </row>
    <row r="350" spans="1:16" x14ac:dyDescent="0.25">
      <c r="A350">
        <v>2014</v>
      </c>
      <c r="B350" t="s">
        <v>723</v>
      </c>
      <c r="C350" t="s">
        <v>724</v>
      </c>
      <c r="D350" t="s">
        <v>15</v>
      </c>
      <c r="E350">
        <v>2.5</v>
      </c>
      <c r="F350">
        <v>5</v>
      </c>
      <c r="G350" t="s">
        <v>126</v>
      </c>
      <c r="H350" t="s">
        <v>143</v>
      </c>
      <c r="I350">
        <v>11.2</v>
      </c>
      <c r="J350">
        <v>7.7</v>
      </c>
      <c r="K350">
        <v>9.6</v>
      </c>
      <c r="L350">
        <v>29</v>
      </c>
      <c r="M350">
        <v>221</v>
      </c>
      <c r="O350">
        <f t="shared" si="10"/>
        <v>552.5</v>
      </c>
      <c r="P350">
        <f t="shared" si="11"/>
        <v>6.25</v>
      </c>
    </row>
    <row r="351" spans="1:16" x14ac:dyDescent="0.25">
      <c r="A351">
        <v>2014</v>
      </c>
      <c r="B351" t="s">
        <v>723</v>
      </c>
      <c r="C351" t="s">
        <v>729</v>
      </c>
      <c r="D351" t="s">
        <v>35</v>
      </c>
      <c r="E351">
        <v>2</v>
      </c>
      <c r="F351">
        <v>4</v>
      </c>
      <c r="G351" t="s">
        <v>33</v>
      </c>
      <c r="H351" t="s">
        <v>17</v>
      </c>
      <c r="I351">
        <v>10.9</v>
      </c>
      <c r="J351">
        <v>8</v>
      </c>
      <c r="K351">
        <v>9.6</v>
      </c>
      <c r="L351">
        <v>29</v>
      </c>
      <c r="M351">
        <v>221</v>
      </c>
      <c r="O351">
        <f t="shared" si="10"/>
        <v>442</v>
      </c>
      <c r="P351">
        <f t="shared" si="11"/>
        <v>4</v>
      </c>
    </row>
    <row r="352" spans="1:16" x14ac:dyDescent="0.25">
      <c r="A352">
        <v>2014</v>
      </c>
      <c r="B352" t="s">
        <v>414</v>
      </c>
      <c r="C352" t="s">
        <v>417</v>
      </c>
      <c r="D352" t="s">
        <v>56</v>
      </c>
      <c r="E352">
        <v>1.6</v>
      </c>
      <c r="F352">
        <v>4</v>
      </c>
      <c r="G352" t="s">
        <v>33</v>
      </c>
      <c r="H352" t="s">
        <v>143</v>
      </c>
      <c r="I352">
        <v>11.1</v>
      </c>
      <c r="J352">
        <v>8</v>
      </c>
      <c r="K352">
        <v>9.6999999999999993</v>
      </c>
      <c r="L352">
        <v>29</v>
      </c>
      <c r="M352">
        <v>223</v>
      </c>
      <c r="O352">
        <f t="shared" si="10"/>
        <v>356.8</v>
      </c>
      <c r="P352">
        <f t="shared" si="11"/>
        <v>2.5600000000000005</v>
      </c>
    </row>
    <row r="353" spans="1:16" x14ac:dyDescent="0.25">
      <c r="A353">
        <v>2014</v>
      </c>
      <c r="B353" t="s">
        <v>450</v>
      </c>
      <c r="C353" t="s">
        <v>459</v>
      </c>
      <c r="D353" t="s">
        <v>15</v>
      </c>
      <c r="E353">
        <v>2.5</v>
      </c>
      <c r="F353">
        <v>6</v>
      </c>
      <c r="G353" t="s">
        <v>23</v>
      </c>
      <c r="H353" t="s">
        <v>17</v>
      </c>
      <c r="I353">
        <v>11.2</v>
      </c>
      <c r="J353">
        <v>7.8</v>
      </c>
      <c r="K353">
        <v>9.6999999999999993</v>
      </c>
      <c r="L353">
        <v>29</v>
      </c>
      <c r="M353">
        <v>223</v>
      </c>
      <c r="O353">
        <f t="shared" si="10"/>
        <v>557.5</v>
      </c>
      <c r="P353">
        <f t="shared" si="11"/>
        <v>6.25</v>
      </c>
    </row>
    <row r="354" spans="1:16" x14ac:dyDescent="0.25">
      <c r="A354">
        <v>2014</v>
      </c>
      <c r="B354" t="s">
        <v>450</v>
      </c>
      <c r="C354" t="s">
        <v>461</v>
      </c>
      <c r="D354" t="s">
        <v>35</v>
      </c>
      <c r="E354">
        <v>2.5</v>
      </c>
      <c r="F354">
        <v>6</v>
      </c>
      <c r="G354" t="s">
        <v>23</v>
      </c>
      <c r="H354" t="s">
        <v>17</v>
      </c>
      <c r="I354">
        <v>11.2</v>
      </c>
      <c r="J354">
        <v>7.8</v>
      </c>
      <c r="K354">
        <v>9.6999999999999993</v>
      </c>
      <c r="L354">
        <v>29</v>
      </c>
      <c r="M354">
        <v>223</v>
      </c>
      <c r="O354">
        <f t="shared" si="10"/>
        <v>557.5</v>
      </c>
      <c r="P354">
        <f t="shared" si="11"/>
        <v>6.25</v>
      </c>
    </row>
    <row r="355" spans="1:16" x14ac:dyDescent="0.25">
      <c r="A355">
        <v>2014</v>
      </c>
      <c r="B355" t="s">
        <v>490</v>
      </c>
      <c r="C355" t="s">
        <v>502</v>
      </c>
      <c r="D355" t="s">
        <v>231</v>
      </c>
      <c r="E355">
        <v>2.5</v>
      </c>
      <c r="F355">
        <v>4</v>
      </c>
      <c r="G355" t="s">
        <v>16</v>
      </c>
      <c r="H355" t="s">
        <v>143</v>
      </c>
      <c r="I355">
        <v>10.8</v>
      </c>
      <c r="J355">
        <v>8.4</v>
      </c>
      <c r="K355">
        <v>9.6999999999999993</v>
      </c>
      <c r="L355">
        <v>29</v>
      </c>
      <c r="M355">
        <v>223</v>
      </c>
      <c r="O355">
        <f t="shared" si="10"/>
        <v>557.5</v>
      </c>
      <c r="P355">
        <f t="shared" si="11"/>
        <v>6.25</v>
      </c>
    </row>
    <row r="356" spans="1:16" x14ac:dyDescent="0.25">
      <c r="A356">
        <v>2014</v>
      </c>
      <c r="B356" t="s">
        <v>681</v>
      </c>
      <c r="C356" t="s">
        <v>683</v>
      </c>
      <c r="D356" t="s">
        <v>22</v>
      </c>
      <c r="E356">
        <v>2.5</v>
      </c>
      <c r="F356">
        <v>4</v>
      </c>
      <c r="G356" t="s">
        <v>18</v>
      </c>
      <c r="H356" t="s">
        <v>143</v>
      </c>
      <c r="I356">
        <v>10.9</v>
      </c>
      <c r="J356">
        <v>8.3000000000000007</v>
      </c>
      <c r="K356">
        <v>9.6999999999999993</v>
      </c>
      <c r="L356">
        <v>29</v>
      </c>
      <c r="M356">
        <v>223</v>
      </c>
      <c r="O356">
        <f t="shared" si="10"/>
        <v>557.5</v>
      </c>
      <c r="P356">
        <f t="shared" si="11"/>
        <v>6.25</v>
      </c>
    </row>
    <row r="357" spans="1:16" x14ac:dyDescent="0.25">
      <c r="A357">
        <v>2014</v>
      </c>
      <c r="B357" t="s">
        <v>723</v>
      </c>
      <c r="C357" t="s">
        <v>727</v>
      </c>
      <c r="D357" t="s">
        <v>15</v>
      </c>
      <c r="E357">
        <v>2</v>
      </c>
      <c r="F357">
        <v>4</v>
      </c>
      <c r="G357" t="s">
        <v>33</v>
      </c>
      <c r="H357" t="s">
        <v>17</v>
      </c>
      <c r="I357">
        <v>11.1</v>
      </c>
      <c r="J357">
        <v>7.9</v>
      </c>
      <c r="K357">
        <v>9.6999999999999993</v>
      </c>
      <c r="L357">
        <v>29</v>
      </c>
      <c r="M357">
        <v>223</v>
      </c>
      <c r="O357">
        <f t="shared" si="10"/>
        <v>446</v>
      </c>
      <c r="P357">
        <f t="shared" si="11"/>
        <v>4</v>
      </c>
    </row>
    <row r="358" spans="1:16" x14ac:dyDescent="0.25">
      <c r="A358">
        <v>2014</v>
      </c>
      <c r="B358" t="s">
        <v>723</v>
      </c>
      <c r="C358" t="s">
        <v>736</v>
      </c>
      <c r="D358" t="s">
        <v>26</v>
      </c>
      <c r="E358">
        <v>2.5</v>
      </c>
      <c r="F358">
        <v>5</v>
      </c>
      <c r="G358" t="s">
        <v>33</v>
      </c>
      <c r="H358" t="s">
        <v>143</v>
      </c>
      <c r="I358">
        <v>11</v>
      </c>
      <c r="J358">
        <v>8</v>
      </c>
      <c r="K358">
        <v>9.6999999999999993</v>
      </c>
      <c r="L358">
        <v>29</v>
      </c>
      <c r="M358">
        <v>223</v>
      </c>
      <c r="O358">
        <f t="shared" si="10"/>
        <v>557.5</v>
      </c>
      <c r="P358">
        <f t="shared" si="11"/>
        <v>6.25</v>
      </c>
    </row>
    <row r="359" spans="1:16" x14ac:dyDescent="0.25">
      <c r="A359">
        <v>2014</v>
      </c>
      <c r="B359" t="s">
        <v>743</v>
      </c>
      <c r="C359" t="s">
        <v>744</v>
      </c>
      <c r="D359" t="s">
        <v>15</v>
      </c>
      <c r="E359">
        <v>2.5</v>
      </c>
      <c r="F359">
        <v>5</v>
      </c>
      <c r="G359" t="s">
        <v>23</v>
      </c>
      <c r="H359" t="s">
        <v>143</v>
      </c>
      <c r="I359">
        <v>11.3</v>
      </c>
      <c r="J359">
        <v>7.8</v>
      </c>
      <c r="K359">
        <v>9.6999999999999993</v>
      </c>
      <c r="L359">
        <v>29</v>
      </c>
      <c r="M359">
        <v>223</v>
      </c>
      <c r="O359">
        <f t="shared" si="10"/>
        <v>557.5</v>
      </c>
      <c r="P359">
        <f t="shared" si="11"/>
        <v>6.25</v>
      </c>
    </row>
    <row r="360" spans="1:16" x14ac:dyDescent="0.25">
      <c r="A360">
        <v>2014</v>
      </c>
      <c r="B360" t="s">
        <v>13</v>
      </c>
      <c r="C360" t="s">
        <v>29</v>
      </c>
      <c r="D360" t="s">
        <v>15</v>
      </c>
      <c r="E360">
        <v>2.4</v>
      </c>
      <c r="F360">
        <v>4</v>
      </c>
      <c r="G360" t="s">
        <v>18</v>
      </c>
      <c r="H360" t="s">
        <v>17</v>
      </c>
      <c r="I360">
        <v>11.2</v>
      </c>
      <c r="J360">
        <v>8.1</v>
      </c>
      <c r="K360">
        <v>9.8000000000000007</v>
      </c>
      <c r="L360">
        <v>29</v>
      </c>
      <c r="M360">
        <v>225</v>
      </c>
      <c r="O360">
        <f t="shared" si="10"/>
        <v>540</v>
      </c>
      <c r="P360">
        <f t="shared" si="11"/>
        <v>5.76</v>
      </c>
    </row>
    <row r="361" spans="1:16" x14ac:dyDescent="0.25">
      <c r="A361">
        <v>2014</v>
      </c>
      <c r="B361" t="s">
        <v>141</v>
      </c>
      <c r="C361" t="s">
        <v>151</v>
      </c>
      <c r="D361" t="s">
        <v>26</v>
      </c>
      <c r="E361">
        <v>2</v>
      </c>
      <c r="F361">
        <v>4</v>
      </c>
      <c r="G361" t="s">
        <v>18</v>
      </c>
      <c r="H361" t="s">
        <v>17</v>
      </c>
      <c r="I361">
        <v>11.6</v>
      </c>
      <c r="J361">
        <v>7.5</v>
      </c>
      <c r="K361">
        <v>9.8000000000000007</v>
      </c>
      <c r="L361">
        <v>29</v>
      </c>
      <c r="M361">
        <v>225</v>
      </c>
      <c r="O361">
        <f t="shared" si="10"/>
        <v>450</v>
      </c>
      <c r="P361">
        <f t="shared" si="11"/>
        <v>4</v>
      </c>
    </row>
    <row r="362" spans="1:16" x14ac:dyDescent="0.25">
      <c r="A362">
        <v>2014</v>
      </c>
      <c r="B362" t="s">
        <v>141</v>
      </c>
      <c r="C362" t="s">
        <v>154</v>
      </c>
      <c r="D362" t="s">
        <v>15</v>
      </c>
      <c r="E362">
        <v>2</v>
      </c>
      <c r="F362">
        <v>4</v>
      </c>
      <c r="G362" t="s">
        <v>18</v>
      </c>
      <c r="H362" t="s">
        <v>17</v>
      </c>
      <c r="I362">
        <v>11.6</v>
      </c>
      <c r="J362">
        <v>7.5</v>
      </c>
      <c r="K362">
        <v>9.8000000000000007</v>
      </c>
      <c r="L362">
        <v>29</v>
      </c>
      <c r="M362">
        <v>225</v>
      </c>
      <c r="O362">
        <f t="shared" si="10"/>
        <v>450</v>
      </c>
      <c r="P362">
        <f t="shared" si="11"/>
        <v>4</v>
      </c>
    </row>
    <row r="363" spans="1:16" x14ac:dyDescent="0.25">
      <c r="A363">
        <v>2014</v>
      </c>
      <c r="B363" t="s">
        <v>218</v>
      </c>
      <c r="C363" t="s">
        <v>221</v>
      </c>
      <c r="D363" t="s">
        <v>26</v>
      </c>
      <c r="E363">
        <v>2.4</v>
      </c>
      <c r="F363">
        <v>4</v>
      </c>
      <c r="G363" t="s">
        <v>42</v>
      </c>
      <c r="H363" t="s">
        <v>143</v>
      </c>
      <c r="I363">
        <v>11.2</v>
      </c>
      <c r="J363">
        <v>8</v>
      </c>
      <c r="K363">
        <v>9.8000000000000007</v>
      </c>
      <c r="L363">
        <v>29</v>
      </c>
      <c r="M363">
        <v>225</v>
      </c>
      <c r="O363">
        <f t="shared" si="10"/>
        <v>540</v>
      </c>
      <c r="P363">
        <f t="shared" si="11"/>
        <v>5.76</v>
      </c>
    </row>
    <row r="364" spans="1:16" x14ac:dyDescent="0.25">
      <c r="A364">
        <v>2014</v>
      </c>
      <c r="B364" t="s">
        <v>232</v>
      </c>
      <c r="C364" t="s">
        <v>233</v>
      </c>
      <c r="D364" t="s">
        <v>26</v>
      </c>
      <c r="E364">
        <v>2.4</v>
      </c>
      <c r="F364">
        <v>4</v>
      </c>
      <c r="G364" t="s">
        <v>42</v>
      </c>
      <c r="H364" t="s">
        <v>143</v>
      </c>
      <c r="I364">
        <v>11.2</v>
      </c>
      <c r="J364">
        <v>8</v>
      </c>
      <c r="K364">
        <v>9.8000000000000007</v>
      </c>
      <c r="L364">
        <v>29</v>
      </c>
      <c r="M364">
        <v>225</v>
      </c>
      <c r="O364">
        <f t="shared" si="10"/>
        <v>540</v>
      </c>
      <c r="P364">
        <f t="shared" si="11"/>
        <v>5.76</v>
      </c>
    </row>
    <row r="365" spans="1:16" x14ac:dyDescent="0.25">
      <c r="A365">
        <v>2014</v>
      </c>
      <c r="B365" t="s">
        <v>265</v>
      </c>
      <c r="C365" t="s">
        <v>271</v>
      </c>
      <c r="D365" t="s">
        <v>22</v>
      </c>
      <c r="E365">
        <v>2</v>
      </c>
      <c r="F365">
        <v>4</v>
      </c>
      <c r="G365" t="s">
        <v>33</v>
      </c>
      <c r="H365" t="s">
        <v>143</v>
      </c>
      <c r="I365">
        <v>11.3</v>
      </c>
      <c r="J365">
        <v>7.9</v>
      </c>
      <c r="K365">
        <v>9.8000000000000007</v>
      </c>
      <c r="L365">
        <v>29</v>
      </c>
      <c r="M365">
        <v>225</v>
      </c>
      <c r="O365">
        <f t="shared" si="10"/>
        <v>450</v>
      </c>
      <c r="P365">
        <f t="shared" si="11"/>
        <v>4</v>
      </c>
    </row>
    <row r="366" spans="1:16" x14ac:dyDescent="0.25">
      <c r="A366">
        <v>2014</v>
      </c>
      <c r="B366" t="s">
        <v>396</v>
      </c>
      <c r="C366" t="s">
        <v>402</v>
      </c>
      <c r="D366" t="s">
        <v>22</v>
      </c>
      <c r="E366">
        <v>2</v>
      </c>
      <c r="F366">
        <v>4</v>
      </c>
      <c r="G366" t="s">
        <v>33</v>
      </c>
      <c r="H366" t="s">
        <v>143</v>
      </c>
      <c r="I366">
        <v>11.1</v>
      </c>
      <c r="J366">
        <v>8.3000000000000007</v>
      </c>
      <c r="K366">
        <v>9.8000000000000007</v>
      </c>
      <c r="L366">
        <v>29</v>
      </c>
      <c r="M366">
        <v>225</v>
      </c>
      <c r="O366">
        <f t="shared" si="10"/>
        <v>450</v>
      </c>
      <c r="P366">
        <f t="shared" si="11"/>
        <v>4</v>
      </c>
    </row>
    <row r="367" spans="1:16" x14ac:dyDescent="0.25">
      <c r="A367">
        <v>2014</v>
      </c>
      <c r="B367" t="s">
        <v>396</v>
      </c>
      <c r="C367" t="s">
        <v>402</v>
      </c>
      <c r="D367" t="s">
        <v>22</v>
      </c>
      <c r="E367">
        <v>2.4</v>
      </c>
      <c r="F367">
        <v>4</v>
      </c>
      <c r="G367" t="s">
        <v>33</v>
      </c>
      <c r="H367" t="s">
        <v>143</v>
      </c>
      <c r="I367">
        <v>11.1</v>
      </c>
      <c r="J367">
        <v>8.3000000000000007</v>
      </c>
      <c r="K367">
        <v>9.8000000000000007</v>
      </c>
      <c r="L367">
        <v>29</v>
      </c>
      <c r="M367">
        <v>225</v>
      </c>
      <c r="O367">
        <f t="shared" si="10"/>
        <v>540</v>
      </c>
      <c r="P367">
        <f t="shared" si="11"/>
        <v>5.76</v>
      </c>
    </row>
    <row r="368" spans="1:16" x14ac:dyDescent="0.25">
      <c r="A368">
        <v>2014</v>
      </c>
      <c r="B368" t="s">
        <v>396</v>
      </c>
      <c r="C368" t="s">
        <v>409</v>
      </c>
      <c r="D368" t="s">
        <v>22</v>
      </c>
      <c r="E368">
        <v>2</v>
      </c>
      <c r="F368">
        <v>4</v>
      </c>
      <c r="G368" t="s">
        <v>33</v>
      </c>
      <c r="H368" t="s">
        <v>143</v>
      </c>
      <c r="I368">
        <v>11.1</v>
      </c>
      <c r="J368">
        <v>8.3000000000000007</v>
      </c>
      <c r="K368">
        <v>9.8000000000000007</v>
      </c>
      <c r="L368">
        <v>29</v>
      </c>
      <c r="M368">
        <v>225</v>
      </c>
      <c r="O368">
        <f t="shared" si="10"/>
        <v>450</v>
      </c>
      <c r="P368">
        <f t="shared" si="11"/>
        <v>4</v>
      </c>
    </row>
    <row r="369" spans="1:16" x14ac:dyDescent="0.25">
      <c r="A369">
        <v>2014</v>
      </c>
      <c r="B369" t="s">
        <v>396</v>
      </c>
      <c r="C369" t="s">
        <v>409</v>
      </c>
      <c r="D369" t="s">
        <v>22</v>
      </c>
      <c r="E369">
        <v>2.4</v>
      </c>
      <c r="F369">
        <v>4</v>
      </c>
      <c r="G369" t="s">
        <v>33</v>
      </c>
      <c r="H369" t="s">
        <v>143</v>
      </c>
      <c r="I369">
        <v>11.1</v>
      </c>
      <c r="J369">
        <v>8.3000000000000007</v>
      </c>
      <c r="K369">
        <v>9.8000000000000007</v>
      </c>
      <c r="L369">
        <v>29</v>
      </c>
      <c r="M369">
        <v>225</v>
      </c>
      <c r="O369">
        <f t="shared" si="10"/>
        <v>540</v>
      </c>
      <c r="P369">
        <f t="shared" si="11"/>
        <v>5.76</v>
      </c>
    </row>
    <row r="370" spans="1:16" x14ac:dyDescent="0.25">
      <c r="A370">
        <v>2014</v>
      </c>
      <c r="B370" t="s">
        <v>414</v>
      </c>
      <c r="C370" t="s">
        <v>417</v>
      </c>
      <c r="D370" t="s">
        <v>56</v>
      </c>
      <c r="E370">
        <v>1.6</v>
      </c>
      <c r="F370">
        <v>4</v>
      </c>
      <c r="G370" t="s">
        <v>18</v>
      </c>
      <c r="H370" t="s">
        <v>143</v>
      </c>
      <c r="I370">
        <v>11.1</v>
      </c>
      <c r="J370">
        <v>8.1999999999999993</v>
      </c>
      <c r="K370">
        <v>9.8000000000000007</v>
      </c>
      <c r="L370">
        <v>29</v>
      </c>
      <c r="M370">
        <v>225</v>
      </c>
      <c r="O370">
        <f t="shared" si="10"/>
        <v>360</v>
      </c>
      <c r="P370">
        <f t="shared" si="11"/>
        <v>2.5600000000000005</v>
      </c>
    </row>
    <row r="371" spans="1:16" x14ac:dyDescent="0.25">
      <c r="A371">
        <v>2014</v>
      </c>
      <c r="B371" t="s">
        <v>434</v>
      </c>
      <c r="C371" t="s">
        <v>437</v>
      </c>
      <c r="D371" t="s">
        <v>22</v>
      </c>
      <c r="E371">
        <v>2</v>
      </c>
      <c r="F371">
        <v>4</v>
      </c>
      <c r="G371" t="s">
        <v>438</v>
      </c>
      <c r="H371" t="s">
        <v>17</v>
      </c>
      <c r="I371">
        <v>11.3</v>
      </c>
      <c r="J371">
        <v>7.9</v>
      </c>
      <c r="K371">
        <v>9.8000000000000007</v>
      </c>
      <c r="L371">
        <v>29</v>
      </c>
      <c r="M371">
        <v>225</v>
      </c>
      <c r="O371">
        <f t="shared" si="10"/>
        <v>450</v>
      </c>
      <c r="P371">
        <f t="shared" si="11"/>
        <v>4</v>
      </c>
    </row>
    <row r="372" spans="1:16" x14ac:dyDescent="0.25">
      <c r="A372">
        <v>2014</v>
      </c>
      <c r="B372" t="s">
        <v>434</v>
      </c>
      <c r="C372" t="s">
        <v>439</v>
      </c>
      <c r="D372" t="s">
        <v>22</v>
      </c>
      <c r="E372">
        <v>2</v>
      </c>
      <c r="F372">
        <v>4</v>
      </c>
      <c r="G372" t="s">
        <v>438</v>
      </c>
      <c r="H372" t="s">
        <v>17</v>
      </c>
      <c r="I372">
        <v>11.3</v>
      </c>
      <c r="J372">
        <v>7.9</v>
      </c>
      <c r="K372">
        <v>9.8000000000000007</v>
      </c>
      <c r="L372">
        <v>29</v>
      </c>
      <c r="M372">
        <v>225</v>
      </c>
      <c r="O372">
        <f t="shared" si="10"/>
        <v>450</v>
      </c>
      <c r="P372">
        <f t="shared" si="11"/>
        <v>4</v>
      </c>
    </row>
    <row r="373" spans="1:16" x14ac:dyDescent="0.25">
      <c r="A373">
        <v>2014</v>
      </c>
      <c r="B373" t="s">
        <v>490</v>
      </c>
      <c r="C373" t="s">
        <v>502</v>
      </c>
      <c r="D373" t="s">
        <v>231</v>
      </c>
      <c r="E373">
        <v>2.5</v>
      </c>
      <c r="F373">
        <v>4</v>
      </c>
      <c r="G373" t="s">
        <v>18</v>
      </c>
      <c r="H373" t="s">
        <v>143</v>
      </c>
      <c r="I373">
        <v>11.1</v>
      </c>
      <c r="J373">
        <v>8.3000000000000007</v>
      </c>
      <c r="K373">
        <v>9.8000000000000007</v>
      </c>
      <c r="L373">
        <v>29</v>
      </c>
      <c r="M373">
        <v>225</v>
      </c>
      <c r="O373">
        <f t="shared" si="10"/>
        <v>562.5</v>
      </c>
      <c r="P373">
        <f t="shared" si="11"/>
        <v>6.25</v>
      </c>
    </row>
    <row r="374" spans="1:16" x14ac:dyDescent="0.25">
      <c r="A374">
        <v>2014</v>
      </c>
      <c r="B374" t="s">
        <v>506</v>
      </c>
      <c r="C374" t="s">
        <v>558</v>
      </c>
      <c r="D374" t="s">
        <v>37</v>
      </c>
      <c r="E374">
        <v>3.5</v>
      </c>
      <c r="F374">
        <v>6</v>
      </c>
      <c r="G374" t="s">
        <v>360</v>
      </c>
      <c r="H374" t="s">
        <v>17</v>
      </c>
      <c r="I374">
        <v>11.1</v>
      </c>
      <c r="J374">
        <v>8.1</v>
      </c>
      <c r="K374">
        <v>9.8000000000000007</v>
      </c>
      <c r="L374">
        <v>29</v>
      </c>
      <c r="M374">
        <v>225</v>
      </c>
      <c r="O374">
        <f t="shared" si="10"/>
        <v>787.5</v>
      </c>
      <c r="P374">
        <f t="shared" si="11"/>
        <v>12.25</v>
      </c>
    </row>
    <row r="375" spans="1:16" x14ac:dyDescent="0.25">
      <c r="A375">
        <v>2014</v>
      </c>
      <c r="B375" t="s">
        <v>618</v>
      </c>
      <c r="C375" t="s">
        <v>633</v>
      </c>
      <c r="D375" t="s">
        <v>37</v>
      </c>
      <c r="E375">
        <v>3.4</v>
      </c>
      <c r="F375">
        <v>6</v>
      </c>
      <c r="G375" t="s">
        <v>38</v>
      </c>
      <c r="H375" t="s">
        <v>17</v>
      </c>
      <c r="I375">
        <v>11.3</v>
      </c>
      <c r="J375">
        <v>7.9</v>
      </c>
      <c r="K375">
        <v>9.8000000000000007</v>
      </c>
      <c r="L375">
        <v>29</v>
      </c>
      <c r="M375">
        <v>225</v>
      </c>
      <c r="O375">
        <f t="shared" si="10"/>
        <v>765</v>
      </c>
      <c r="P375">
        <f t="shared" si="11"/>
        <v>11.559999999999999</v>
      </c>
    </row>
    <row r="376" spans="1:16" x14ac:dyDescent="0.25">
      <c r="A376">
        <v>2014</v>
      </c>
      <c r="B376" t="s">
        <v>618</v>
      </c>
      <c r="C376" t="s">
        <v>641</v>
      </c>
      <c r="D376" t="s">
        <v>37</v>
      </c>
      <c r="E376">
        <v>3.4</v>
      </c>
      <c r="F376">
        <v>6</v>
      </c>
      <c r="G376" t="s">
        <v>38</v>
      </c>
      <c r="H376" t="s">
        <v>17</v>
      </c>
      <c r="I376">
        <v>11.3</v>
      </c>
      <c r="J376">
        <v>7.9</v>
      </c>
      <c r="K376">
        <v>9.8000000000000007</v>
      </c>
      <c r="L376">
        <v>29</v>
      </c>
      <c r="M376">
        <v>225</v>
      </c>
      <c r="O376">
        <f t="shared" si="10"/>
        <v>765</v>
      </c>
      <c r="P376">
        <f t="shared" si="11"/>
        <v>11.559999999999999</v>
      </c>
    </row>
    <row r="377" spans="1:16" x14ac:dyDescent="0.25">
      <c r="A377">
        <v>2014</v>
      </c>
      <c r="B377" t="s">
        <v>681</v>
      </c>
      <c r="C377" t="s">
        <v>687</v>
      </c>
      <c r="D377" t="s">
        <v>22</v>
      </c>
      <c r="E377">
        <v>2.5</v>
      </c>
      <c r="F377">
        <v>4</v>
      </c>
      <c r="G377" t="s">
        <v>18</v>
      </c>
      <c r="H377" t="s">
        <v>143</v>
      </c>
      <c r="I377">
        <v>10.8</v>
      </c>
      <c r="J377">
        <v>8.5</v>
      </c>
      <c r="K377">
        <v>9.8000000000000007</v>
      </c>
      <c r="L377">
        <v>29</v>
      </c>
      <c r="M377">
        <v>225</v>
      </c>
      <c r="O377">
        <f t="shared" si="10"/>
        <v>562.5</v>
      </c>
      <c r="P377">
        <f t="shared" si="11"/>
        <v>6.25</v>
      </c>
    </row>
    <row r="378" spans="1:16" x14ac:dyDescent="0.25">
      <c r="A378">
        <v>2014</v>
      </c>
      <c r="B378" t="s">
        <v>723</v>
      </c>
      <c r="C378" t="s">
        <v>724</v>
      </c>
      <c r="D378" t="s">
        <v>15</v>
      </c>
      <c r="E378">
        <v>2.5</v>
      </c>
      <c r="F378">
        <v>5</v>
      </c>
      <c r="G378" t="s">
        <v>33</v>
      </c>
      <c r="H378" t="s">
        <v>143</v>
      </c>
      <c r="I378">
        <v>10.9</v>
      </c>
      <c r="J378">
        <v>8.4</v>
      </c>
      <c r="K378">
        <v>9.8000000000000007</v>
      </c>
      <c r="L378">
        <v>29</v>
      </c>
      <c r="M378">
        <v>225</v>
      </c>
      <c r="O378">
        <f t="shared" si="10"/>
        <v>562.5</v>
      </c>
      <c r="P378">
        <f t="shared" si="11"/>
        <v>6.25</v>
      </c>
    </row>
    <row r="379" spans="1:16" x14ac:dyDescent="0.25">
      <c r="A379">
        <v>2014</v>
      </c>
      <c r="B379" t="s">
        <v>723</v>
      </c>
      <c r="C379" t="s">
        <v>727</v>
      </c>
      <c r="D379" t="s">
        <v>15</v>
      </c>
      <c r="E379">
        <v>2</v>
      </c>
      <c r="F379">
        <v>4</v>
      </c>
      <c r="G379" t="s">
        <v>18</v>
      </c>
      <c r="H379" t="s">
        <v>17</v>
      </c>
      <c r="I379">
        <v>11.6</v>
      </c>
      <c r="J379">
        <v>7.7</v>
      </c>
      <c r="K379">
        <v>9.8000000000000007</v>
      </c>
      <c r="L379">
        <v>29</v>
      </c>
      <c r="M379">
        <v>225</v>
      </c>
      <c r="O379">
        <f t="shared" si="10"/>
        <v>450</v>
      </c>
      <c r="P379">
        <f t="shared" si="11"/>
        <v>4</v>
      </c>
    </row>
    <row r="380" spans="1:16" x14ac:dyDescent="0.25">
      <c r="A380">
        <v>2014</v>
      </c>
      <c r="B380" t="s">
        <v>723</v>
      </c>
      <c r="C380" t="s">
        <v>736</v>
      </c>
      <c r="D380" t="s">
        <v>26</v>
      </c>
      <c r="E380">
        <v>2.5</v>
      </c>
      <c r="F380">
        <v>5</v>
      </c>
      <c r="G380" t="s">
        <v>126</v>
      </c>
      <c r="H380" t="s">
        <v>143</v>
      </c>
      <c r="I380">
        <v>11.4</v>
      </c>
      <c r="J380">
        <v>7.8</v>
      </c>
      <c r="K380">
        <v>9.8000000000000007</v>
      </c>
      <c r="L380">
        <v>29</v>
      </c>
      <c r="M380">
        <v>225</v>
      </c>
      <c r="O380">
        <f t="shared" si="10"/>
        <v>562.5</v>
      </c>
      <c r="P380">
        <f t="shared" si="11"/>
        <v>6.25</v>
      </c>
    </row>
    <row r="381" spans="1:16" x14ac:dyDescent="0.25">
      <c r="A381">
        <v>2014</v>
      </c>
      <c r="B381" t="s">
        <v>90</v>
      </c>
      <c r="C381" t="s">
        <v>100</v>
      </c>
      <c r="D381" t="s">
        <v>15</v>
      </c>
      <c r="E381">
        <v>3</v>
      </c>
      <c r="F381">
        <v>6</v>
      </c>
      <c r="G381" t="s">
        <v>53</v>
      </c>
      <c r="H381" t="s">
        <v>17</v>
      </c>
      <c r="I381">
        <v>11.7</v>
      </c>
      <c r="J381">
        <v>7.8</v>
      </c>
      <c r="K381">
        <v>9.9</v>
      </c>
      <c r="L381">
        <v>29</v>
      </c>
      <c r="M381">
        <v>228</v>
      </c>
      <c r="O381">
        <f t="shared" si="10"/>
        <v>684</v>
      </c>
      <c r="P381">
        <f t="shared" si="11"/>
        <v>9</v>
      </c>
    </row>
    <row r="382" spans="1:16" x14ac:dyDescent="0.25">
      <c r="A382">
        <v>2014</v>
      </c>
      <c r="B382" t="s">
        <v>90</v>
      </c>
      <c r="C382" t="s">
        <v>105</v>
      </c>
      <c r="D382" t="s">
        <v>15</v>
      </c>
      <c r="E382">
        <v>3</v>
      </c>
      <c r="F382">
        <v>6</v>
      </c>
      <c r="G382" t="s">
        <v>53</v>
      </c>
      <c r="H382" t="s">
        <v>17</v>
      </c>
      <c r="I382">
        <v>11.7</v>
      </c>
      <c r="J382">
        <v>7.8</v>
      </c>
      <c r="K382">
        <v>9.9</v>
      </c>
      <c r="L382">
        <v>29</v>
      </c>
      <c r="M382">
        <v>228</v>
      </c>
      <c r="O382">
        <f t="shared" si="10"/>
        <v>684</v>
      </c>
      <c r="P382">
        <f t="shared" si="11"/>
        <v>9</v>
      </c>
    </row>
    <row r="383" spans="1:16" x14ac:dyDescent="0.25">
      <c r="A383">
        <v>2014</v>
      </c>
      <c r="B383" t="s">
        <v>141</v>
      </c>
      <c r="C383" t="s">
        <v>151</v>
      </c>
      <c r="D383" t="s">
        <v>26</v>
      </c>
      <c r="E383">
        <v>2</v>
      </c>
      <c r="F383">
        <v>4</v>
      </c>
      <c r="G383" t="s">
        <v>23</v>
      </c>
      <c r="H383" t="s">
        <v>17</v>
      </c>
      <c r="I383">
        <v>11.5</v>
      </c>
      <c r="J383">
        <v>7.9</v>
      </c>
      <c r="K383">
        <v>9.9</v>
      </c>
      <c r="L383">
        <v>29</v>
      </c>
      <c r="M383">
        <v>228</v>
      </c>
      <c r="O383">
        <f t="shared" si="10"/>
        <v>456</v>
      </c>
      <c r="P383">
        <f t="shared" si="11"/>
        <v>4</v>
      </c>
    </row>
    <row r="384" spans="1:16" x14ac:dyDescent="0.25">
      <c r="A384">
        <v>2014</v>
      </c>
      <c r="B384" t="s">
        <v>141</v>
      </c>
      <c r="C384" t="s">
        <v>154</v>
      </c>
      <c r="D384" t="s">
        <v>15</v>
      </c>
      <c r="E384">
        <v>2</v>
      </c>
      <c r="F384">
        <v>4</v>
      </c>
      <c r="G384" t="s">
        <v>23</v>
      </c>
      <c r="H384" t="s">
        <v>17</v>
      </c>
      <c r="I384">
        <v>11.5</v>
      </c>
      <c r="J384">
        <v>7.9</v>
      </c>
      <c r="K384">
        <v>9.9</v>
      </c>
      <c r="L384">
        <v>29</v>
      </c>
      <c r="M384">
        <v>228</v>
      </c>
      <c r="O384">
        <f t="shared" si="10"/>
        <v>456</v>
      </c>
      <c r="P384">
        <f t="shared" si="11"/>
        <v>4</v>
      </c>
    </row>
    <row r="385" spans="1:16" x14ac:dyDescent="0.25">
      <c r="A385">
        <v>2014</v>
      </c>
      <c r="B385" t="s">
        <v>175</v>
      </c>
      <c r="C385" t="s">
        <v>199</v>
      </c>
      <c r="D385" t="s">
        <v>26</v>
      </c>
      <c r="E385">
        <v>2</v>
      </c>
      <c r="F385">
        <v>4</v>
      </c>
      <c r="G385" t="s">
        <v>23</v>
      </c>
      <c r="H385" t="s">
        <v>17</v>
      </c>
      <c r="I385">
        <v>11.5</v>
      </c>
      <c r="J385">
        <v>7.9</v>
      </c>
      <c r="K385">
        <v>9.9</v>
      </c>
      <c r="L385">
        <v>29</v>
      </c>
      <c r="M385">
        <v>228</v>
      </c>
      <c r="O385">
        <f t="shared" si="10"/>
        <v>456</v>
      </c>
      <c r="P385">
        <f t="shared" si="11"/>
        <v>4</v>
      </c>
    </row>
    <row r="386" spans="1:16" x14ac:dyDescent="0.25">
      <c r="A386">
        <v>2014</v>
      </c>
      <c r="B386" t="s">
        <v>265</v>
      </c>
      <c r="C386" t="s">
        <v>304</v>
      </c>
      <c r="D386" t="s">
        <v>305</v>
      </c>
      <c r="E386">
        <v>2.5</v>
      </c>
      <c r="F386">
        <v>4</v>
      </c>
      <c r="G386" t="s">
        <v>23</v>
      </c>
      <c r="H386" t="s">
        <v>143</v>
      </c>
      <c r="I386">
        <v>11.3</v>
      </c>
      <c r="J386">
        <v>8.1999999999999993</v>
      </c>
      <c r="K386">
        <v>9.9</v>
      </c>
      <c r="L386">
        <v>29</v>
      </c>
      <c r="M386">
        <v>228</v>
      </c>
      <c r="O386">
        <f t="shared" si="10"/>
        <v>570</v>
      </c>
      <c r="P386">
        <f t="shared" si="11"/>
        <v>6.25</v>
      </c>
    </row>
    <row r="387" spans="1:16" x14ac:dyDescent="0.25">
      <c r="A387">
        <v>2014</v>
      </c>
      <c r="B387" t="s">
        <v>396</v>
      </c>
      <c r="C387" t="s">
        <v>406</v>
      </c>
      <c r="D387" t="s">
        <v>64</v>
      </c>
      <c r="E387">
        <v>3</v>
      </c>
      <c r="F387">
        <v>6</v>
      </c>
      <c r="G387" t="s">
        <v>53</v>
      </c>
      <c r="H387" t="s">
        <v>50</v>
      </c>
      <c r="I387">
        <v>11.2</v>
      </c>
      <c r="J387">
        <v>8.4</v>
      </c>
      <c r="K387">
        <v>9.9</v>
      </c>
      <c r="L387">
        <v>29</v>
      </c>
      <c r="M387">
        <v>267</v>
      </c>
      <c r="O387">
        <f t="shared" ref="O387:O450" si="12">M387*E387</f>
        <v>801</v>
      </c>
      <c r="P387">
        <f t="shared" ref="P387:P450" si="13">E387*E387</f>
        <v>9</v>
      </c>
    </row>
    <row r="388" spans="1:16" x14ac:dyDescent="0.25">
      <c r="A388">
        <v>2014</v>
      </c>
      <c r="B388" t="s">
        <v>414</v>
      </c>
      <c r="C388" t="s">
        <v>419</v>
      </c>
      <c r="D388" t="s">
        <v>26</v>
      </c>
      <c r="E388">
        <v>2</v>
      </c>
      <c r="F388">
        <v>4</v>
      </c>
      <c r="G388" t="s">
        <v>33</v>
      </c>
      <c r="H388" t="s">
        <v>143</v>
      </c>
      <c r="I388">
        <v>11.7</v>
      </c>
      <c r="J388">
        <v>7.6</v>
      </c>
      <c r="K388">
        <v>9.9</v>
      </c>
      <c r="L388">
        <v>29</v>
      </c>
      <c r="M388">
        <v>228</v>
      </c>
      <c r="O388">
        <f t="shared" si="12"/>
        <v>456</v>
      </c>
      <c r="P388">
        <f t="shared" si="13"/>
        <v>4</v>
      </c>
    </row>
    <row r="389" spans="1:16" x14ac:dyDescent="0.25">
      <c r="A389">
        <v>2014</v>
      </c>
      <c r="B389" t="s">
        <v>490</v>
      </c>
      <c r="C389" t="s">
        <v>505</v>
      </c>
      <c r="D389" t="s">
        <v>37</v>
      </c>
      <c r="E389">
        <v>2</v>
      </c>
      <c r="F389">
        <v>4</v>
      </c>
      <c r="G389" t="s">
        <v>18</v>
      </c>
      <c r="H389" t="s">
        <v>17</v>
      </c>
      <c r="I389">
        <v>11.1</v>
      </c>
      <c r="J389">
        <v>8.4</v>
      </c>
      <c r="K389">
        <v>9.9</v>
      </c>
      <c r="L389">
        <v>29</v>
      </c>
      <c r="M389">
        <v>228</v>
      </c>
      <c r="O389">
        <f t="shared" si="12"/>
        <v>456</v>
      </c>
      <c r="P389">
        <f t="shared" si="13"/>
        <v>4</v>
      </c>
    </row>
    <row r="390" spans="1:16" x14ac:dyDescent="0.25">
      <c r="A390">
        <v>2014</v>
      </c>
      <c r="B390" t="s">
        <v>618</v>
      </c>
      <c r="C390" t="s">
        <v>632</v>
      </c>
      <c r="D390" t="s">
        <v>37</v>
      </c>
      <c r="E390">
        <v>2.7</v>
      </c>
      <c r="F390">
        <v>6</v>
      </c>
      <c r="G390" t="s">
        <v>18</v>
      </c>
      <c r="H390" t="s">
        <v>17</v>
      </c>
      <c r="I390">
        <v>11.5</v>
      </c>
      <c r="J390">
        <v>7.9</v>
      </c>
      <c r="K390">
        <v>9.9</v>
      </c>
      <c r="L390">
        <v>29</v>
      </c>
      <c r="M390">
        <v>228</v>
      </c>
      <c r="O390">
        <f t="shared" si="12"/>
        <v>615.6</v>
      </c>
      <c r="P390">
        <f t="shared" si="13"/>
        <v>7.2900000000000009</v>
      </c>
    </row>
    <row r="391" spans="1:16" x14ac:dyDescent="0.25">
      <c r="A391">
        <v>2014</v>
      </c>
      <c r="B391" t="s">
        <v>618</v>
      </c>
      <c r="C391" t="s">
        <v>640</v>
      </c>
      <c r="D391" t="s">
        <v>37</v>
      </c>
      <c r="E391">
        <v>2.7</v>
      </c>
      <c r="F391">
        <v>6</v>
      </c>
      <c r="G391" t="s">
        <v>18</v>
      </c>
      <c r="H391" t="s">
        <v>17</v>
      </c>
      <c r="I391">
        <v>11.5</v>
      </c>
      <c r="J391">
        <v>7.9</v>
      </c>
      <c r="K391">
        <v>9.9</v>
      </c>
      <c r="L391">
        <v>29</v>
      </c>
      <c r="M391">
        <v>228</v>
      </c>
      <c r="O391">
        <f t="shared" si="12"/>
        <v>615.6</v>
      </c>
      <c r="P391">
        <f t="shared" si="13"/>
        <v>7.2900000000000009</v>
      </c>
    </row>
    <row r="392" spans="1:16" x14ac:dyDescent="0.25">
      <c r="A392">
        <v>2014</v>
      </c>
      <c r="B392" t="s">
        <v>667</v>
      </c>
      <c r="C392" t="s">
        <v>671</v>
      </c>
      <c r="D392" t="s">
        <v>59</v>
      </c>
      <c r="E392">
        <v>2.4</v>
      </c>
      <c r="F392">
        <v>4</v>
      </c>
      <c r="G392" t="s">
        <v>672</v>
      </c>
      <c r="H392" t="s">
        <v>143</v>
      </c>
      <c r="I392">
        <v>10.9</v>
      </c>
      <c r="J392">
        <v>8.6</v>
      </c>
      <c r="K392">
        <v>9.9</v>
      </c>
      <c r="L392">
        <v>29</v>
      </c>
      <c r="M392">
        <v>228</v>
      </c>
      <c r="O392">
        <f t="shared" si="12"/>
        <v>547.19999999999993</v>
      </c>
      <c r="P392">
        <f t="shared" si="13"/>
        <v>5.76</v>
      </c>
    </row>
    <row r="393" spans="1:16" x14ac:dyDescent="0.25">
      <c r="A393">
        <v>2014</v>
      </c>
      <c r="B393" t="s">
        <v>667</v>
      </c>
      <c r="C393" t="s">
        <v>671</v>
      </c>
      <c r="D393" t="s">
        <v>59</v>
      </c>
      <c r="E393">
        <v>2.4</v>
      </c>
      <c r="F393">
        <v>4</v>
      </c>
      <c r="G393" t="s">
        <v>126</v>
      </c>
      <c r="H393" t="s">
        <v>143</v>
      </c>
      <c r="I393">
        <v>10.9</v>
      </c>
      <c r="J393">
        <v>8.6</v>
      </c>
      <c r="K393">
        <v>9.9</v>
      </c>
      <c r="L393">
        <v>29</v>
      </c>
      <c r="M393">
        <v>228</v>
      </c>
      <c r="O393">
        <f t="shared" si="12"/>
        <v>547.19999999999993</v>
      </c>
      <c r="P393">
        <f t="shared" si="13"/>
        <v>5.76</v>
      </c>
    </row>
    <row r="394" spans="1:16" x14ac:dyDescent="0.25">
      <c r="A394">
        <v>2014</v>
      </c>
      <c r="B394" t="s">
        <v>681</v>
      </c>
      <c r="C394" t="s">
        <v>686</v>
      </c>
      <c r="D394" t="s">
        <v>26</v>
      </c>
      <c r="E394">
        <v>2.5</v>
      </c>
      <c r="F394">
        <v>4</v>
      </c>
      <c r="G394" t="s">
        <v>18</v>
      </c>
      <c r="H394" t="s">
        <v>143</v>
      </c>
      <c r="I394">
        <v>11.3</v>
      </c>
      <c r="J394">
        <v>8.1999999999999993</v>
      </c>
      <c r="K394">
        <v>9.9</v>
      </c>
      <c r="L394">
        <v>29</v>
      </c>
      <c r="M394">
        <v>228</v>
      </c>
      <c r="O394">
        <f t="shared" si="12"/>
        <v>570</v>
      </c>
      <c r="P394">
        <f t="shared" si="13"/>
        <v>6.25</v>
      </c>
    </row>
    <row r="395" spans="1:16" x14ac:dyDescent="0.25">
      <c r="A395">
        <v>2014</v>
      </c>
      <c r="B395" t="s">
        <v>13</v>
      </c>
      <c r="C395" t="s">
        <v>25</v>
      </c>
      <c r="D395" t="s">
        <v>26</v>
      </c>
      <c r="E395">
        <v>3.5</v>
      </c>
      <c r="F395">
        <v>6</v>
      </c>
      <c r="G395" t="s">
        <v>23</v>
      </c>
      <c r="H395" t="s">
        <v>17</v>
      </c>
      <c r="I395">
        <v>11.9</v>
      </c>
      <c r="J395">
        <v>7.7</v>
      </c>
      <c r="K395">
        <v>10</v>
      </c>
      <c r="L395">
        <v>28</v>
      </c>
      <c r="M395">
        <v>230</v>
      </c>
      <c r="O395">
        <f t="shared" si="12"/>
        <v>805</v>
      </c>
      <c r="P395">
        <f t="shared" si="13"/>
        <v>12.25</v>
      </c>
    </row>
    <row r="396" spans="1:16" x14ac:dyDescent="0.25">
      <c r="A396">
        <v>2014</v>
      </c>
      <c r="B396" t="s">
        <v>41</v>
      </c>
      <c r="C396" t="s">
        <v>44</v>
      </c>
      <c r="D396" t="s">
        <v>15</v>
      </c>
      <c r="E396">
        <v>2</v>
      </c>
      <c r="F396">
        <v>4</v>
      </c>
      <c r="G396" t="s">
        <v>45</v>
      </c>
      <c r="H396" t="s">
        <v>17</v>
      </c>
      <c r="I396">
        <v>11.5</v>
      </c>
      <c r="J396">
        <v>8.1</v>
      </c>
      <c r="K396">
        <v>10</v>
      </c>
      <c r="L396">
        <v>28</v>
      </c>
      <c r="M396">
        <v>230</v>
      </c>
      <c r="O396">
        <f t="shared" si="12"/>
        <v>460</v>
      </c>
      <c r="P396">
        <f t="shared" si="13"/>
        <v>4</v>
      </c>
    </row>
    <row r="397" spans="1:16" x14ac:dyDescent="0.25">
      <c r="A397">
        <v>2014</v>
      </c>
      <c r="B397" t="s">
        <v>41</v>
      </c>
      <c r="C397" t="s">
        <v>46</v>
      </c>
      <c r="D397" t="s">
        <v>35</v>
      </c>
      <c r="E397">
        <v>2</v>
      </c>
      <c r="F397">
        <v>4</v>
      </c>
      <c r="G397" t="s">
        <v>45</v>
      </c>
      <c r="H397" t="s">
        <v>17</v>
      </c>
      <c r="I397">
        <v>11.5</v>
      </c>
      <c r="J397">
        <v>8.1</v>
      </c>
      <c r="K397">
        <v>10</v>
      </c>
      <c r="L397">
        <v>28</v>
      </c>
      <c r="M397">
        <v>230</v>
      </c>
      <c r="O397">
        <f t="shared" si="12"/>
        <v>460</v>
      </c>
      <c r="P397">
        <f t="shared" si="13"/>
        <v>4</v>
      </c>
    </row>
    <row r="398" spans="1:16" x14ac:dyDescent="0.25">
      <c r="A398">
        <v>2014</v>
      </c>
      <c r="B398" t="s">
        <v>41</v>
      </c>
      <c r="C398" t="s">
        <v>47</v>
      </c>
      <c r="D398" t="s">
        <v>35</v>
      </c>
      <c r="E398">
        <v>2</v>
      </c>
      <c r="F398">
        <v>4</v>
      </c>
      <c r="G398" t="s">
        <v>45</v>
      </c>
      <c r="H398" t="s">
        <v>17</v>
      </c>
      <c r="I398">
        <v>11.5</v>
      </c>
      <c r="J398">
        <v>8.1</v>
      </c>
      <c r="K398">
        <v>10</v>
      </c>
      <c r="L398">
        <v>28</v>
      </c>
      <c r="M398">
        <v>230</v>
      </c>
      <c r="O398">
        <f t="shared" si="12"/>
        <v>460</v>
      </c>
      <c r="P398">
        <f t="shared" si="13"/>
        <v>4</v>
      </c>
    </row>
    <row r="399" spans="1:16" x14ac:dyDescent="0.25">
      <c r="A399">
        <v>2014</v>
      </c>
      <c r="B399" t="s">
        <v>90</v>
      </c>
      <c r="C399" t="s">
        <v>99</v>
      </c>
      <c r="D399" t="s">
        <v>15</v>
      </c>
      <c r="E399">
        <v>3</v>
      </c>
      <c r="F399">
        <v>6</v>
      </c>
      <c r="G399" t="s">
        <v>18</v>
      </c>
      <c r="H399" t="s">
        <v>17</v>
      </c>
      <c r="I399">
        <v>11.8</v>
      </c>
      <c r="J399">
        <v>7.9</v>
      </c>
      <c r="K399">
        <v>10</v>
      </c>
      <c r="L399">
        <v>28</v>
      </c>
      <c r="M399">
        <v>230</v>
      </c>
      <c r="O399">
        <f t="shared" si="12"/>
        <v>690</v>
      </c>
      <c r="P399">
        <f t="shared" si="13"/>
        <v>9</v>
      </c>
    </row>
    <row r="400" spans="1:16" x14ac:dyDescent="0.25">
      <c r="A400">
        <v>2014</v>
      </c>
      <c r="B400" t="s">
        <v>90</v>
      </c>
      <c r="C400" t="s">
        <v>104</v>
      </c>
      <c r="D400" t="s">
        <v>15</v>
      </c>
      <c r="E400">
        <v>3</v>
      </c>
      <c r="F400">
        <v>6</v>
      </c>
      <c r="G400" t="s">
        <v>18</v>
      </c>
      <c r="H400" t="s">
        <v>17</v>
      </c>
      <c r="I400">
        <v>11.8</v>
      </c>
      <c r="J400">
        <v>7.9</v>
      </c>
      <c r="K400">
        <v>10</v>
      </c>
      <c r="L400">
        <v>28</v>
      </c>
      <c r="M400">
        <v>230</v>
      </c>
      <c r="O400">
        <f t="shared" si="12"/>
        <v>690</v>
      </c>
      <c r="P400">
        <f t="shared" si="13"/>
        <v>9</v>
      </c>
    </row>
    <row r="401" spans="1:16" x14ac:dyDescent="0.25">
      <c r="A401">
        <v>2014</v>
      </c>
      <c r="B401" t="s">
        <v>90</v>
      </c>
      <c r="C401" t="s">
        <v>131</v>
      </c>
      <c r="D401" t="s">
        <v>22</v>
      </c>
      <c r="E401">
        <v>2</v>
      </c>
      <c r="F401">
        <v>4</v>
      </c>
      <c r="G401" t="s">
        <v>53</v>
      </c>
      <c r="H401" t="s">
        <v>17</v>
      </c>
      <c r="I401">
        <v>11.2</v>
      </c>
      <c r="J401">
        <v>8.5</v>
      </c>
      <c r="K401">
        <v>10</v>
      </c>
      <c r="L401">
        <v>28</v>
      </c>
      <c r="M401">
        <v>230</v>
      </c>
      <c r="O401">
        <f t="shared" si="12"/>
        <v>460</v>
      </c>
      <c r="P401">
        <f t="shared" si="13"/>
        <v>4</v>
      </c>
    </row>
    <row r="402" spans="1:16" x14ac:dyDescent="0.25">
      <c r="A402">
        <v>2014</v>
      </c>
      <c r="B402" t="s">
        <v>175</v>
      </c>
      <c r="C402" t="s">
        <v>186</v>
      </c>
      <c r="D402" t="s">
        <v>22</v>
      </c>
      <c r="E402">
        <v>2.4</v>
      </c>
      <c r="F402">
        <v>4</v>
      </c>
      <c r="G402" t="s">
        <v>33</v>
      </c>
      <c r="H402" t="s">
        <v>143</v>
      </c>
      <c r="I402">
        <v>11.5</v>
      </c>
      <c r="J402">
        <v>8.1999999999999993</v>
      </c>
      <c r="K402">
        <v>10</v>
      </c>
      <c r="L402">
        <v>28</v>
      </c>
      <c r="M402">
        <v>230</v>
      </c>
      <c r="O402">
        <f t="shared" si="12"/>
        <v>552</v>
      </c>
      <c r="P402">
        <f t="shared" si="13"/>
        <v>5.76</v>
      </c>
    </row>
    <row r="403" spans="1:16" x14ac:dyDescent="0.25">
      <c r="A403">
        <v>2014</v>
      </c>
      <c r="B403" t="s">
        <v>218</v>
      </c>
      <c r="C403" t="s">
        <v>221</v>
      </c>
      <c r="D403" t="s">
        <v>26</v>
      </c>
      <c r="E403">
        <v>2.4</v>
      </c>
      <c r="F403">
        <v>4</v>
      </c>
      <c r="G403" t="s">
        <v>33</v>
      </c>
      <c r="H403" t="s">
        <v>143</v>
      </c>
      <c r="I403">
        <v>12</v>
      </c>
      <c r="J403">
        <v>7.6</v>
      </c>
      <c r="K403">
        <v>10</v>
      </c>
      <c r="L403">
        <v>28</v>
      </c>
      <c r="M403">
        <v>230</v>
      </c>
      <c r="O403">
        <f t="shared" si="12"/>
        <v>552</v>
      </c>
      <c r="P403">
        <f t="shared" si="13"/>
        <v>5.76</v>
      </c>
    </row>
    <row r="404" spans="1:16" x14ac:dyDescent="0.25">
      <c r="A404">
        <v>2014</v>
      </c>
      <c r="B404" t="s">
        <v>232</v>
      </c>
      <c r="C404" t="s">
        <v>233</v>
      </c>
      <c r="D404" t="s">
        <v>26</v>
      </c>
      <c r="E404">
        <v>2.4</v>
      </c>
      <c r="F404">
        <v>4</v>
      </c>
      <c r="G404" t="s">
        <v>33</v>
      </c>
      <c r="H404" t="s">
        <v>143</v>
      </c>
      <c r="I404">
        <v>12</v>
      </c>
      <c r="J404">
        <v>7.6</v>
      </c>
      <c r="K404">
        <v>10</v>
      </c>
      <c r="L404">
        <v>28</v>
      </c>
      <c r="M404">
        <v>230</v>
      </c>
      <c r="O404">
        <f t="shared" si="12"/>
        <v>552</v>
      </c>
      <c r="P404">
        <f t="shared" si="13"/>
        <v>5.76</v>
      </c>
    </row>
    <row r="405" spans="1:16" x14ac:dyDescent="0.25">
      <c r="A405">
        <v>2014</v>
      </c>
      <c r="B405" t="s">
        <v>265</v>
      </c>
      <c r="C405" t="s">
        <v>274</v>
      </c>
      <c r="D405" t="s">
        <v>22</v>
      </c>
      <c r="E405">
        <v>2</v>
      </c>
      <c r="F405">
        <v>4</v>
      </c>
      <c r="G405" t="s">
        <v>23</v>
      </c>
      <c r="H405" t="s">
        <v>143</v>
      </c>
      <c r="I405">
        <v>11.2</v>
      </c>
      <c r="J405">
        <v>8.5</v>
      </c>
      <c r="K405">
        <v>10</v>
      </c>
      <c r="L405">
        <v>28</v>
      </c>
      <c r="M405">
        <v>230</v>
      </c>
      <c r="O405">
        <f t="shared" si="12"/>
        <v>460</v>
      </c>
      <c r="P405">
        <f t="shared" si="13"/>
        <v>4</v>
      </c>
    </row>
    <row r="406" spans="1:16" x14ac:dyDescent="0.25">
      <c r="A406">
        <v>2014</v>
      </c>
      <c r="B406" t="s">
        <v>308</v>
      </c>
      <c r="C406" t="s">
        <v>322</v>
      </c>
      <c r="D406" t="s">
        <v>22</v>
      </c>
      <c r="E406">
        <v>2.4</v>
      </c>
      <c r="F406">
        <v>4</v>
      </c>
      <c r="G406" t="s">
        <v>33</v>
      </c>
      <c r="H406" t="s">
        <v>143</v>
      </c>
      <c r="I406">
        <v>11.5</v>
      </c>
      <c r="J406">
        <v>8.1999999999999993</v>
      </c>
      <c r="K406">
        <v>10</v>
      </c>
      <c r="L406">
        <v>28</v>
      </c>
      <c r="M406">
        <v>230</v>
      </c>
      <c r="O406">
        <f t="shared" si="12"/>
        <v>552</v>
      </c>
      <c r="P406">
        <f t="shared" si="13"/>
        <v>5.76</v>
      </c>
    </row>
    <row r="407" spans="1:16" x14ac:dyDescent="0.25">
      <c r="A407">
        <v>2014</v>
      </c>
      <c r="B407" t="s">
        <v>342</v>
      </c>
      <c r="C407" t="s">
        <v>354</v>
      </c>
      <c r="D407" t="s">
        <v>22</v>
      </c>
      <c r="E407">
        <v>2.4</v>
      </c>
      <c r="F407">
        <v>4</v>
      </c>
      <c r="G407" t="s">
        <v>33</v>
      </c>
      <c r="H407" t="s">
        <v>143</v>
      </c>
      <c r="I407">
        <v>11.3</v>
      </c>
      <c r="J407">
        <v>8.3000000000000007</v>
      </c>
      <c r="K407">
        <v>10</v>
      </c>
      <c r="L407">
        <v>28</v>
      </c>
      <c r="M407">
        <v>230</v>
      </c>
      <c r="O407">
        <f t="shared" si="12"/>
        <v>552</v>
      </c>
      <c r="P407">
        <f t="shared" si="13"/>
        <v>5.76</v>
      </c>
    </row>
    <row r="408" spans="1:16" x14ac:dyDescent="0.25">
      <c r="A408">
        <v>2014</v>
      </c>
      <c r="B408" t="s">
        <v>396</v>
      </c>
      <c r="C408" t="s">
        <v>399</v>
      </c>
      <c r="D408" t="s">
        <v>22</v>
      </c>
      <c r="E408">
        <v>2.4</v>
      </c>
      <c r="F408">
        <v>4</v>
      </c>
      <c r="G408" t="s">
        <v>398</v>
      </c>
      <c r="H408" t="s">
        <v>143</v>
      </c>
      <c r="I408">
        <v>11.3</v>
      </c>
      <c r="J408">
        <v>8.3000000000000007</v>
      </c>
      <c r="K408">
        <v>10</v>
      </c>
      <c r="L408">
        <v>28</v>
      </c>
      <c r="M408">
        <v>230</v>
      </c>
      <c r="O408">
        <f t="shared" si="12"/>
        <v>552</v>
      </c>
      <c r="P408">
        <f t="shared" si="13"/>
        <v>5.76</v>
      </c>
    </row>
    <row r="409" spans="1:16" x14ac:dyDescent="0.25">
      <c r="A409">
        <v>2014</v>
      </c>
      <c r="B409" t="s">
        <v>414</v>
      </c>
      <c r="C409" t="s">
        <v>429</v>
      </c>
      <c r="D409" t="s">
        <v>22</v>
      </c>
      <c r="E409">
        <v>2.4</v>
      </c>
      <c r="F409">
        <v>4</v>
      </c>
      <c r="G409" t="s">
        <v>33</v>
      </c>
      <c r="H409" t="s">
        <v>143</v>
      </c>
      <c r="I409">
        <v>11.4</v>
      </c>
      <c r="J409">
        <v>8.3000000000000007</v>
      </c>
      <c r="K409">
        <v>10</v>
      </c>
      <c r="L409">
        <v>28</v>
      </c>
      <c r="M409">
        <v>230</v>
      </c>
      <c r="O409">
        <f t="shared" si="12"/>
        <v>552</v>
      </c>
      <c r="P409">
        <f t="shared" si="13"/>
        <v>5.76</v>
      </c>
    </row>
    <row r="410" spans="1:16" x14ac:dyDescent="0.25">
      <c r="A410">
        <v>2014</v>
      </c>
      <c r="B410" t="s">
        <v>506</v>
      </c>
      <c r="C410" t="s">
        <v>526</v>
      </c>
      <c r="D410" t="s">
        <v>26</v>
      </c>
      <c r="E410">
        <v>3.5</v>
      </c>
      <c r="F410">
        <v>6</v>
      </c>
      <c r="G410" t="s">
        <v>360</v>
      </c>
      <c r="H410" t="s">
        <v>17</v>
      </c>
      <c r="I410">
        <v>11.6</v>
      </c>
      <c r="J410">
        <v>8.1</v>
      </c>
      <c r="K410">
        <v>10</v>
      </c>
      <c r="L410">
        <v>28</v>
      </c>
      <c r="M410">
        <v>230</v>
      </c>
      <c r="O410">
        <f t="shared" si="12"/>
        <v>805</v>
      </c>
      <c r="P410">
        <f t="shared" si="13"/>
        <v>12.25</v>
      </c>
    </row>
    <row r="411" spans="1:16" x14ac:dyDescent="0.25">
      <c r="A411">
        <v>2014</v>
      </c>
      <c r="B411" t="s">
        <v>691</v>
      </c>
      <c r="C411" t="s">
        <v>720</v>
      </c>
      <c r="D411" t="s">
        <v>22</v>
      </c>
      <c r="E411">
        <v>2.7</v>
      </c>
      <c r="F411">
        <v>4</v>
      </c>
      <c r="G411" t="s">
        <v>23</v>
      </c>
      <c r="H411" t="s">
        <v>143</v>
      </c>
      <c r="I411">
        <v>11.4</v>
      </c>
      <c r="J411">
        <v>8.1999999999999993</v>
      </c>
      <c r="K411">
        <v>10</v>
      </c>
      <c r="L411">
        <v>28</v>
      </c>
      <c r="M411">
        <v>230</v>
      </c>
      <c r="O411">
        <f t="shared" si="12"/>
        <v>621</v>
      </c>
      <c r="P411">
        <f t="shared" si="13"/>
        <v>7.2900000000000009</v>
      </c>
    </row>
    <row r="412" spans="1:16" x14ac:dyDescent="0.25">
      <c r="A412">
        <v>2014</v>
      </c>
      <c r="B412" t="s">
        <v>13</v>
      </c>
      <c r="C412" t="s">
        <v>27</v>
      </c>
      <c r="D412" t="s">
        <v>26</v>
      </c>
      <c r="E412">
        <v>3.5</v>
      </c>
      <c r="F412">
        <v>6</v>
      </c>
      <c r="G412" t="s">
        <v>23</v>
      </c>
      <c r="H412" t="s">
        <v>17</v>
      </c>
      <c r="I412">
        <v>11.8</v>
      </c>
      <c r="J412">
        <v>8.1</v>
      </c>
      <c r="K412">
        <v>10.1</v>
      </c>
      <c r="L412">
        <v>28</v>
      </c>
      <c r="M412">
        <v>232</v>
      </c>
      <c r="O412">
        <f t="shared" si="12"/>
        <v>812</v>
      </c>
      <c r="P412">
        <f t="shared" si="13"/>
        <v>12.25</v>
      </c>
    </row>
    <row r="413" spans="1:16" x14ac:dyDescent="0.25">
      <c r="A413">
        <v>2014</v>
      </c>
      <c r="B413" t="s">
        <v>90</v>
      </c>
      <c r="C413" t="s">
        <v>101</v>
      </c>
      <c r="D413" t="s">
        <v>56</v>
      </c>
      <c r="E413">
        <v>3</v>
      </c>
      <c r="F413">
        <v>6</v>
      </c>
      <c r="G413" t="s">
        <v>53</v>
      </c>
      <c r="H413" t="s">
        <v>17</v>
      </c>
      <c r="I413">
        <v>11.9</v>
      </c>
      <c r="J413">
        <v>8</v>
      </c>
      <c r="K413">
        <v>10.1</v>
      </c>
      <c r="L413">
        <v>28</v>
      </c>
      <c r="M413">
        <v>232</v>
      </c>
      <c r="O413">
        <f t="shared" si="12"/>
        <v>696</v>
      </c>
      <c r="P413">
        <f t="shared" si="13"/>
        <v>9</v>
      </c>
    </row>
    <row r="414" spans="1:16" x14ac:dyDescent="0.25">
      <c r="A414">
        <v>2014</v>
      </c>
      <c r="B414" t="s">
        <v>90</v>
      </c>
      <c r="C414" t="s">
        <v>109</v>
      </c>
      <c r="D414" t="s">
        <v>26</v>
      </c>
      <c r="E414">
        <v>3</v>
      </c>
      <c r="F414">
        <v>6</v>
      </c>
      <c r="G414" t="s">
        <v>53</v>
      </c>
      <c r="H414" t="s">
        <v>17</v>
      </c>
      <c r="I414">
        <v>11.9</v>
      </c>
      <c r="J414">
        <v>8</v>
      </c>
      <c r="K414">
        <v>10.1</v>
      </c>
      <c r="L414">
        <v>28</v>
      </c>
      <c r="M414">
        <v>232</v>
      </c>
      <c r="O414">
        <f t="shared" si="12"/>
        <v>696</v>
      </c>
      <c r="P414">
        <f t="shared" si="13"/>
        <v>9</v>
      </c>
    </row>
    <row r="415" spans="1:16" x14ac:dyDescent="0.25">
      <c r="A415">
        <v>2014</v>
      </c>
      <c r="B415" t="s">
        <v>90</v>
      </c>
      <c r="C415" t="s">
        <v>113</v>
      </c>
      <c r="D415" t="s">
        <v>15</v>
      </c>
      <c r="E415">
        <v>3</v>
      </c>
      <c r="F415">
        <v>6</v>
      </c>
      <c r="G415" t="s">
        <v>53</v>
      </c>
      <c r="H415" t="s">
        <v>17</v>
      </c>
      <c r="I415">
        <v>11.9</v>
      </c>
      <c r="J415">
        <v>8</v>
      </c>
      <c r="K415">
        <v>10.1</v>
      </c>
      <c r="L415">
        <v>28</v>
      </c>
      <c r="M415">
        <v>232</v>
      </c>
      <c r="O415">
        <f t="shared" si="12"/>
        <v>696</v>
      </c>
      <c r="P415">
        <f t="shared" si="13"/>
        <v>9</v>
      </c>
    </row>
    <row r="416" spans="1:16" x14ac:dyDescent="0.25">
      <c r="A416">
        <v>2014</v>
      </c>
      <c r="B416" t="s">
        <v>155</v>
      </c>
      <c r="C416" t="s">
        <v>157</v>
      </c>
      <c r="D416" t="s">
        <v>15</v>
      </c>
      <c r="E416">
        <v>2</v>
      </c>
      <c r="F416">
        <v>4</v>
      </c>
      <c r="G416" t="s">
        <v>23</v>
      </c>
      <c r="H416" t="s">
        <v>17</v>
      </c>
      <c r="I416">
        <v>11.8</v>
      </c>
      <c r="J416">
        <v>8.1</v>
      </c>
      <c r="K416">
        <v>10.1</v>
      </c>
      <c r="L416">
        <v>28</v>
      </c>
      <c r="M416">
        <v>232</v>
      </c>
      <c r="O416">
        <f t="shared" si="12"/>
        <v>464</v>
      </c>
      <c r="P416">
        <f t="shared" si="13"/>
        <v>4</v>
      </c>
    </row>
    <row r="417" spans="1:16" x14ac:dyDescent="0.25">
      <c r="A417">
        <v>2014</v>
      </c>
      <c r="B417" t="s">
        <v>155</v>
      </c>
      <c r="C417" t="s">
        <v>160</v>
      </c>
      <c r="D417" t="s">
        <v>26</v>
      </c>
      <c r="E417">
        <v>2</v>
      </c>
      <c r="F417">
        <v>4</v>
      </c>
      <c r="G417" t="s">
        <v>23</v>
      </c>
      <c r="H417" t="s">
        <v>17</v>
      </c>
      <c r="I417">
        <v>11.9</v>
      </c>
      <c r="J417">
        <v>7.9</v>
      </c>
      <c r="K417">
        <v>10.1</v>
      </c>
      <c r="L417">
        <v>28</v>
      </c>
      <c r="M417">
        <v>232</v>
      </c>
      <c r="O417">
        <f t="shared" si="12"/>
        <v>464</v>
      </c>
      <c r="P417">
        <f t="shared" si="13"/>
        <v>4</v>
      </c>
    </row>
    <row r="418" spans="1:16" x14ac:dyDescent="0.25">
      <c r="A418">
        <v>2014</v>
      </c>
      <c r="B418" t="s">
        <v>218</v>
      </c>
      <c r="C418" t="s">
        <v>219</v>
      </c>
      <c r="D418" t="s">
        <v>15</v>
      </c>
      <c r="E418">
        <v>2.4</v>
      </c>
      <c r="F418">
        <v>4</v>
      </c>
      <c r="G418" t="s">
        <v>42</v>
      </c>
      <c r="H418" t="s">
        <v>143</v>
      </c>
      <c r="I418">
        <v>11.7</v>
      </c>
      <c r="J418">
        <v>8.1999999999999993</v>
      </c>
      <c r="K418">
        <v>10.1</v>
      </c>
      <c r="L418">
        <v>28</v>
      </c>
      <c r="M418">
        <v>232</v>
      </c>
      <c r="O418">
        <f t="shared" si="12"/>
        <v>556.79999999999995</v>
      </c>
      <c r="P418">
        <f t="shared" si="13"/>
        <v>5.76</v>
      </c>
    </row>
    <row r="419" spans="1:16" x14ac:dyDescent="0.25">
      <c r="A419">
        <v>2014</v>
      </c>
      <c r="B419" t="s">
        <v>265</v>
      </c>
      <c r="C419" t="s">
        <v>293</v>
      </c>
      <c r="D419" t="s">
        <v>15</v>
      </c>
      <c r="E419">
        <v>2</v>
      </c>
      <c r="F419">
        <v>4</v>
      </c>
      <c r="G419" t="s">
        <v>33</v>
      </c>
      <c r="H419" t="s">
        <v>148</v>
      </c>
      <c r="I419">
        <v>11.6</v>
      </c>
      <c r="J419">
        <v>8.3000000000000007</v>
      </c>
      <c r="K419">
        <v>10.1</v>
      </c>
      <c r="L419">
        <v>28</v>
      </c>
      <c r="M419">
        <v>162</v>
      </c>
      <c r="O419">
        <f t="shared" si="12"/>
        <v>324</v>
      </c>
      <c r="P419">
        <f t="shared" si="13"/>
        <v>4</v>
      </c>
    </row>
    <row r="420" spans="1:16" x14ac:dyDescent="0.25">
      <c r="A420">
        <v>2014</v>
      </c>
      <c r="B420" t="s">
        <v>265</v>
      </c>
      <c r="C420" t="s">
        <v>306</v>
      </c>
      <c r="D420" t="s">
        <v>305</v>
      </c>
      <c r="E420">
        <v>1.6</v>
      </c>
      <c r="F420">
        <v>4</v>
      </c>
      <c r="G420" t="s">
        <v>23</v>
      </c>
      <c r="H420" t="s">
        <v>143</v>
      </c>
      <c r="I420">
        <v>11.5</v>
      </c>
      <c r="J420">
        <v>8.3000000000000007</v>
      </c>
      <c r="K420">
        <v>10.1</v>
      </c>
      <c r="L420">
        <v>28</v>
      </c>
      <c r="M420">
        <v>232</v>
      </c>
      <c r="O420">
        <f t="shared" si="12"/>
        <v>371.20000000000005</v>
      </c>
      <c r="P420">
        <f t="shared" si="13"/>
        <v>2.5600000000000005</v>
      </c>
    </row>
    <row r="421" spans="1:16" x14ac:dyDescent="0.25">
      <c r="A421">
        <v>2014</v>
      </c>
      <c r="B421" t="s">
        <v>342</v>
      </c>
      <c r="C421" t="s">
        <v>354</v>
      </c>
      <c r="D421" t="s">
        <v>22</v>
      </c>
      <c r="E421">
        <v>2</v>
      </c>
      <c r="F421">
        <v>4</v>
      </c>
      <c r="G421" t="s">
        <v>18</v>
      </c>
      <c r="H421" t="s">
        <v>143</v>
      </c>
      <c r="I421">
        <v>11.4</v>
      </c>
      <c r="J421">
        <v>8.6</v>
      </c>
      <c r="K421">
        <v>10.1</v>
      </c>
      <c r="L421">
        <v>28</v>
      </c>
      <c r="M421">
        <v>232</v>
      </c>
      <c r="O421">
        <f t="shared" si="12"/>
        <v>464</v>
      </c>
      <c r="P421">
        <f t="shared" si="13"/>
        <v>4</v>
      </c>
    </row>
    <row r="422" spans="1:16" x14ac:dyDescent="0.25">
      <c r="A422">
        <v>2014</v>
      </c>
      <c r="B422" t="s">
        <v>396</v>
      </c>
      <c r="C422" t="s">
        <v>400</v>
      </c>
      <c r="D422" t="s">
        <v>22</v>
      </c>
      <c r="E422">
        <v>2.4</v>
      </c>
      <c r="F422">
        <v>4</v>
      </c>
      <c r="G422" t="s">
        <v>398</v>
      </c>
      <c r="H422" t="s">
        <v>143</v>
      </c>
      <c r="I422">
        <v>11.4</v>
      </c>
      <c r="J422">
        <v>8.6</v>
      </c>
      <c r="K422">
        <v>10.1</v>
      </c>
      <c r="L422">
        <v>28</v>
      </c>
      <c r="M422">
        <v>232</v>
      </c>
      <c r="O422">
        <f t="shared" si="12"/>
        <v>556.79999999999995</v>
      </c>
      <c r="P422">
        <f t="shared" si="13"/>
        <v>5.76</v>
      </c>
    </row>
    <row r="423" spans="1:16" x14ac:dyDescent="0.25">
      <c r="A423">
        <v>2014</v>
      </c>
      <c r="B423" t="s">
        <v>618</v>
      </c>
      <c r="C423" t="s">
        <v>619</v>
      </c>
      <c r="D423" t="s">
        <v>32</v>
      </c>
      <c r="E423">
        <v>3.4</v>
      </c>
      <c r="F423">
        <v>6</v>
      </c>
      <c r="G423" t="s">
        <v>38</v>
      </c>
      <c r="H423" t="s">
        <v>17</v>
      </c>
      <c r="I423">
        <v>11.6</v>
      </c>
      <c r="J423">
        <v>8.3000000000000007</v>
      </c>
      <c r="K423">
        <v>10.1</v>
      </c>
      <c r="L423">
        <v>28</v>
      </c>
      <c r="M423">
        <v>232</v>
      </c>
      <c r="O423">
        <f t="shared" si="12"/>
        <v>788.8</v>
      </c>
      <c r="P423">
        <f t="shared" si="13"/>
        <v>11.559999999999999</v>
      </c>
    </row>
    <row r="424" spans="1:16" x14ac:dyDescent="0.25">
      <c r="A424">
        <v>2014</v>
      </c>
      <c r="B424" t="s">
        <v>618</v>
      </c>
      <c r="C424" t="s">
        <v>624</v>
      </c>
      <c r="D424" t="s">
        <v>32</v>
      </c>
      <c r="E424">
        <v>3.4</v>
      </c>
      <c r="F424">
        <v>6</v>
      </c>
      <c r="G424" t="s">
        <v>38</v>
      </c>
      <c r="H424" t="s">
        <v>17</v>
      </c>
      <c r="I424">
        <v>11.6</v>
      </c>
      <c r="J424">
        <v>8.3000000000000007</v>
      </c>
      <c r="K424">
        <v>10.1</v>
      </c>
      <c r="L424">
        <v>28</v>
      </c>
      <c r="M424">
        <v>232</v>
      </c>
      <c r="O424">
        <f t="shared" si="12"/>
        <v>788.8</v>
      </c>
      <c r="P424">
        <f t="shared" si="13"/>
        <v>11.559999999999999</v>
      </c>
    </row>
    <row r="425" spans="1:16" x14ac:dyDescent="0.25">
      <c r="A425">
        <v>2014</v>
      </c>
      <c r="B425" t="s">
        <v>723</v>
      </c>
      <c r="C425" t="s">
        <v>725</v>
      </c>
      <c r="D425" t="s">
        <v>35</v>
      </c>
      <c r="E425">
        <v>2.5</v>
      </c>
      <c r="F425">
        <v>5</v>
      </c>
      <c r="G425" t="s">
        <v>33</v>
      </c>
      <c r="H425" t="s">
        <v>143</v>
      </c>
      <c r="I425">
        <v>11.2</v>
      </c>
      <c r="J425">
        <v>8.6999999999999993</v>
      </c>
      <c r="K425">
        <v>10.1</v>
      </c>
      <c r="L425">
        <v>28</v>
      </c>
      <c r="M425">
        <v>232</v>
      </c>
      <c r="O425">
        <f t="shared" si="12"/>
        <v>580</v>
      </c>
      <c r="P425">
        <f t="shared" si="13"/>
        <v>6.25</v>
      </c>
    </row>
    <row r="426" spans="1:16" x14ac:dyDescent="0.25">
      <c r="A426">
        <v>2014</v>
      </c>
      <c r="B426" t="s">
        <v>743</v>
      </c>
      <c r="C426" t="s">
        <v>745</v>
      </c>
      <c r="D426" t="s">
        <v>15</v>
      </c>
      <c r="E426">
        <v>2.5</v>
      </c>
      <c r="F426">
        <v>5</v>
      </c>
      <c r="G426" t="s">
        <v>23</v>
      </c>
      <c r="H426" t="s">
        <v>143</v>
      </c>
      <c r="I426">
        <v>11.6</v>
      </c>
      <c r="J426">
        <v>8.3000000000000007</v>
      </c>
      <c r="K426">
        <v>10.1</v>
      </c>
      <c r="L426">
        <v>28</v>
      </c>
      <c r="M426">
        <v>232</v>
      </c>
      <c r="O426">
        <f t="shared" si="12"/>
        <v>580</v>
      </c>
      <c r="P426">
        <f t="shared" si="13"/>
        <v>6.25</v>
      </c>
    </row>
    <row r="427" spans="1:16" x14ac:dyDescent="0.25">
      <c r="A427">
        <v>2014</v>
      </c>
      <c r="B427" t="s">
        <v>41</v>
      </c>
      <c r="C427" t="s">
        <v>48</v>
      </c>
      <c r="D427" t="s">
        <v>26</v>
      </c>
      <c r="E427">
        <v>2</v>
      </c>
      <c r="F427">
        <v>4</v>
      </c>
      <c r="G427" t="s">
        <v>45</v>
      </c>
      <c r="H427" t="s">
        <v>17</v>
      </c>
      <c r="I427">
        <v>12</v>
      </c>
      <c r="J427">
        <v>8.1</v>
      </c>
      <c r="K427">
        <v>10.199999999999999</v>
      </c>
      <c r="L427">
        <v>28</v>
      </c>
      <c r="M427">
        <v>235</v>
      </c>
      <c r="O427">
        <f t="shared" si="12"/>
        <v>470</v>
      </c>
      <c r="P427">
        <f t="shared" si="13"/>
        <v>4</v>
      </c>
    </row>
    <row r="428" spans="1:16" x14ac:dyDescent="0.25">
      <c r="A428">
        <v>2014</v>
      </c>
      <c r="B428" t="s">
        <v>155</v>
      </c>
      <c r="C428" t="s">
        <v>156</v>
      </c>
      <c r="D428" t="s">
        <v>15</v>
      </c>
      <c r="E428">
        <v>2</v>
      </c>
      <c r="F428">
        <v>4</v>
      </c>
      <c r="G428" t="s">
        <v>18</v>
      </c>
      <c r="H428" t="s">
        <v>17</v>
      </c>
      <c r="I428">
        <v>12.1</v>
      </c>
      <c r="J428">
        <v>7.9</v>
      </c>
      <c r="K428">
        <v>10.199999999999999</v>
      </c>
      <c r="L428">
        <v>28</v>
      </c>
      <c r="M428">
        <v>235</v>
      </c>
      <c r="O428">
        <f t="shared" si="12"/>
        <v>470</v>
      </c>
      <c r="P428">
        <f t="shared" si="13"/>
        <v>4</v>
      </c>
    </row>
    <row r="429" spans="1:16" x14ac:dyDescent="0.25">
      <c r="A429">
        <v>2014</v>
      </c>
      <c r="B429" t="s">
        <v>175</v>
      </c>
      <c r="C429" t="s">
        <v>200</v>
      </c>
      <c r="D429" t="s">
        <v>22</v>
      </c>
      <c r="E429">
        <v>2.4</v>
      </c>
      <c r="F429">
        <v>4</v>
      </c>
      <c r="G429" t="s">
        <v>18</v>
      </c>
      <c r="H429" t="s">
        <v>143</v>
      </c>
      <c r="I429">
        <v>11.8</v>
      </c>
      <c r="J429">
        <v>8.3000000000000007</v>
      </c>
      <c r="K429">
        <v>10.199999999999999</v>
      </c>
      <c r="L429">
        <v>28</v>
      </c>
      <c r="M429">
        <v>235</v>
      </c>
      <c r="O429">
        <f t="shared" si="12"/>
        <v>564</v>
      </c>
      <c r="P429">
        <f t="shared" si="13"/>
        <v>5.76</v>
      </c>
    </row>
    <row r="430" spans="1:16" x14ac:dyDescent="0.25">
      <c r="A430">
        <v>2014</v>
      </c>
      <c r="B430" t="s">
        <v>232</v>
      </c>
      <c r="C430" t="s">
        <v>244</v>
      </c>
      <c r="D430" t="s">
        <v>56</v>
      </c>
      <c r="E430">
        <v>3.6</v>
      </c>
      <c r="F430">
        <v>6</v>
      </c>
      <c r="G430" t="s">
        <v>53</v>
      </c>
      <c r="H430" t="s">
        <v>143</v>
      </c>
      <c r="I430">
        <v>12.3</v>
      </c>
      <c r="J430">
        <v>7.6</v>
      </c>
      <c r="K430">
        <v>10.199999999999999</v>
      </c>
      <c r="L430">
        <v>28</v>
      </c>
      <c r="M430">
        <v>235</v>
      </c>
      <c r="O430">
        <f t="shared" si="12"/>
        <v>846</v>
      </c>
      <c r="P430">
        <f t="shared" si="13"/>
        <v>12.96</v>
      </c>
    </row>
    <row r="431" spans="1:16" x14ac:dyDescent="0.25">
      <c r="A431">
        <v>2014</v>
      </c>
      <c r="B431" t="s">
        <v>265</v>
      </c>
      <c r="C431" t="s">
        <v>276</v>
      </c>
      <c r="D431" t="s">
        <v>64</v>
      </c>
      <c r="E431">
        <v>2</v>
      </c>
      <c r="F431">
        <v>4</v>
      </c>
      <c r="G431" t="s">
        <v>33</v>
      </c>
      <c r="H431" t="s">
        <v>143</v>
      </c>
      <c r="I431">
        <v>11.8</v>
      </c>
      <c r="J431">
        <v>8.3000000000000007</v>
      </c>
      <c r="K431">
        <v>10.199999999999999</v>
      </c>
      <c r="L431">
        <v>28</v>
      </c>
      <c r="M431">
        <v>235</v>
      </c>
      <c r="O431">
        <f t="shared" si="12"/>
        <v>470</v>
      </c>
      <c r="P431">
        <f t="shared" si="13"/>
        <v>4</v>
      </c>
    </row>
    <row r="432" spans="1:16" x14ac:dyDescent="0.25">
      <c r="A432">
        <v>2014</v>
      </c>
      <c r="B432" t="s">
        <v>265</v>
      </c>
      <c r="C432" t="s">
        <v>298</v>
      </c>
      <c r="D432" t="s">
        <v>35</v>
      </c>
      <c r="E432">
        <v>3.7</v>
      </c>
      <c r="F432">
        <v>6</v>
      </c>
      <c r="G432" t="s">
        <v>33</v>
      </c>
      <c r="H432" t="s">
        <v>143</v>
      </c>
      <c r="I432">
        <v>12.1</v>
      </c>
      <c r="J432">
        <v>7.8</v>
      </c>
      <c r="K432">
        <v>10.199999999999999</v>
      </c>
      <c r="L432">
        <v>28</v>
      </c>
      <c r="M432">
        <v>235</v>
      </c>
      <c r="O432">
        <f t="shared" si="12"/>
        <v>869.5</v>
      </c>
      <c r="P432">
        <f t="shared" si="13"/>
        <v>13.690000000000001</v>
      </c>
    </row>
    <row r="433" spans="1:16" x14ac:dyDescent="0.25">
      <c r="A433">
        <v>2014</v>
      </c>
      <c r="B433" t="s">
        <v>358</v>
      </c>
      <c r="C433" t="s">
        <v>359</v>
      </c>
      <c r="D433" t="s">
        <v>26</v>
      </c>
      <c r="E433">
        <v>3.7</v>
      </c>
      <c r="F433">
        <v>6</v>
      </c>
      <c r="G433" t="s">
        <v>360</v>
      </c>
      <c r="H433" t="s">
        <v>17</v>
      </c>
      <c r="I433">
        <v>12</v>
      </c>
      <c r="J433">
        <v>8</v>
      </c>
      <c r="K433">
        <v>10.199999999999999</v>
      </c>
      <c r="L433">
        <v>28</v>
      </c>
      <c r="M433">
        <v>235</v>
      </c>
      <c r="O433">
        <f t="shared" si="12"/>
        <v>869.5</v>
      </c>
      <c r="P433">
        <f t="shared" si="13"/>
        <v>13.690000000000001</v>
      </c>
    </row>
    <row r="434" spans="1:16" x14ac:dyDescent="0.25">
      <c r="A434">
        <v>2014</v>
      </c>
      <c r="B434" t="s">
        <v>396</v>
      </c>
      <c r="C434" t="s">
        <v>403</v>
      </c>
      <c r="D434" t="s">
        <v>22</v>
      </c>
      <c r="E434">
        <v>2.4</v>
      </c>
      <c r="F434">
        <v>4</v>
      </c>
      <c r="G434" t="s">
        <v>33</v>
      </c>
      <c r="H434" t="s">
        <v>143</v>
      </c>
      <c r="I434">
        <v>11.4</v>
      </c>
      <c r="J434">
        <v>8.6999999999999993</v>
      </c>
      <c r="K434">
        <v>10.199999999999999</v>
      </c>
      <c r="L434">
        <v>28</v>
      </c>
      <c r="M434">
        <v>235</v>
      </c>
      <c r="O434">
        <f t="shared" si="12"/>
        <v>564</v>
      </c>
      <c r="P434">
        <f t="shared" si="13"/>
        <v>5.76</v>
      </c>
    </row>
    <row r="435" spans="1:16" x14ac:dyDescent="0.25">
      <c r="A435">
        <v>2014</v>
      </c>
      <c r="B435" t="s">
        <v>396</v>
      </c>
      <c r="C435" t="s">
        <v>410</v>
      </c>
      <c r="D435" t="s">
        <v>22</v>
      </c>
      <c r="E435">
        <v>2.4</v>
      </c>
      <c r="F435">
        <v>4</v>
      </c>
      <c r="G435" t="s">
        <v>33</v>
      </c>
      <c r="H435" t="s">
        <v>143</v>
      </c>
      <c r="I435">
        <v>11.4</v>
      </c>
      <c r="J435">
        <v>8.6999999999999993</v>
      </c>
      <c r="K435">
        <v>10.199999999999999</v>
      </c>
      <c r="L435">
        <v>28</v>
      </c>
      <c r="M435">
        <v>235</v>
      </c>
      <c r="O435">
        <f t="shared" si="12"/>
        <v>564</v>
      </c>
      <c r="P435">
        <f t="shared" si="13"/>
        <v>5.76</v>
      </c>
    </row>
    <row r="436" spans="1:16" x14ac:dyDescent="0.25">
      <c r="A436">
        <v>2014</v>
      </c>
      <c r="B436" t="s">
        <v>473</v>
      </c>
      <c r="C436" t="s">
        <v>476</v>
      </c>
      <c r="D436" t="s">
        <v>305</v>
      </c>
      <c r="E436">
        <v>2</v>
      </c>
      <c r="F436">
        <v>4</v>
      </c>
      <c r="G436" t="s">
        <v>23</v>
      </c>
      <c r="H436" t="s">
        <v>143</v>
      </c>
      <c r="I436">
        <v>11.5</v>
      </c>
      <c r="J436">
        <v>8.5</v>
      </c>
      <c r="K436">
        <v>10.199999999999999</v>
      </c>
      <c r="L436">
        <v>28</v>
      </c>
      <c r="M436">
        <v>235</v>
      </c>
      <c r="O436">
        <f t="shared" si="12"/>
        <v>470</v>
      </c>
      <c r="P436">
        <f t="shared" si="13"/>
        <v>4</v>
      </c>
    </row>
    <row r="437" spans="1:16" x14ac:dyDescent="0.25">
      <c r="A437">
        <v>2014</v>
      </c>
      <c r="B437" t="s">
        <v>490</v>
      </c>
      <c r="C437" t="s">
        <v>505</v>
      </c>
      <c r="D437" t="s">
        <v>37</v>
      </c>
      <c r="E437">
        <v>2</v>
      </c>
      <c r="F437">
        <v>4</v>
      </c>
      <c r="G437" t="s">
        <v>23</v>
      </c>
      <c r="H437" t="s">
        <v>17</v>
      </c>
      <c r="I437">
        <v>11.5</v>
      </c>
      <c r="J437">
        <v>8.5</v>
      </c>
      <c r="K437">
        <v>10.199999999999999</v>
      </c>
      <c r="L437">
        <v>28</v>
      </c>
      <c r="M437">
        <v>235</v>
      </c>
      <c r="O437">
        <f t="shared" si="12"/>
        <v>470</v>
      </c>
      <c r="P437">
        <f t="shared" si="13"/>
        <v>4</v>
      </c>
    </row>
    <row r="438" spans="1:16" x14ac:dyDescent="0.25">
      <c r="A438">
        <v>2014</v>
      </c>
      <c r="B438" t="s">
        <v>506</v>
      </c>
      <c r="C438" t="s">
        <v>525</v>
      </c>
      <c r="D438" t="s">
        <v>26</v>
      </c>
      <c r="E438">
        <v>3.5</v>
      </c>
      <c r="F438">
        <v>6</v>
      </c>
      <c r="G438" t="s">
        <v>360</v>
      </c>
      <c r="H438" t="s">
        <v>17</v>
      </c>
      <c r="I438">
        <v>11.8</v>
      </c>
      <c r="J438">
        <v>8.1999999999999993</v>
      </c>
      <c r="K438">
        <v>10.199999999999999</v>
      </c>
      <c r="L438">
        <v>28</v>
      </c>
      <c r="M438">
        <v>235</v>
      </c>
      <c r="O438">
        <f t="shared" si="12"/>
        <v>822.5</v>
      </c>
      <c r="P438">
        <f t="shared" si="13"/>
        <v>12.25</v>
      </c>
    </row>
    <row r="439" spans="1:16" x14ac:dyDescent="0.25">
      <c r="A439">
        <v>2014</v>
      </c>
      <c r="B439" t="s">
        <v>506</v>
      </c>
      <c r="C439" t="s">
        <v>530</v>
      </c>
      <c r="D439" t="s">
        <v>35</v>
      </c>
      <c r="E439">
        <v>3.5</v>
      </c>
      <c r="F439">
        <v>6</v>
      </c>
      <c r="G439" t="s">
        <v>360</v>
      </c>
      <c r="H439" t="s">
        <v>17</v>
      </c>
      <c r="I439">
        <v>11.9</v>
      </c>
      <c r="J439">
        <v>8.1999999999999993</v>
      </c>
      <c r="K439">
        <v>10.199999999999999</v>
      </c>
      <c r="L439">
        <v>28</v>
      </c>
      <c r="M439">
        <v>235</v>
      </c>
      <c r="O439">
        <f t="shared" si="12"/>
        <v>822.5</v>
      </c>
      <c r="P439">
        <f t="shared" si="13"/>
        <v>12.25</v>
      </c>
    </row>
    <row r="440" spans="1:16" x14ac:dyDescent="0.25">
      <c r="A440">
        <v>2014</v>
      </c>
      <c r="B440" t="s">
        <v>582</v>
      </c>
      <c r="C440" t="s">
        <v>590</v>
      </c>
      <c r="D440" t="s">
        <v>22</v>
      </c>
      <c r="E440">
        <v>3</v>
      </c>
      <c r="F440">
        <v>6</v>
      </c>
      <c r="G440" t="s">
        <v>23</v>
      </c>
      <c r="H440" t="s">
        <v>17</v>
      </c>
      <c r="I440">
        <v>11.5</v>
      </c>
      <c r="J440">
        <v>8.5</v>
      </c>
      <c r="K440">
        <v>10.199999999999999</v>
      </c>
      <c r="L440">
        <v>28</v>
      </c>
      <c r="M440">
        <v>235</v>
      </c>
      <c r="O440">
        <f t="shared" si="12"/>
        <v>705</v>
      </c>
      <c r="P440">
        <f t="shared" si="13"/>
        <v>9</v>
      </c>
    </row>
    <row r="441" spans="1:16" x14ac:dyDescent="0.25">
      <c r="A441">
        <v>2014</v>
      </c>
      <c r="B441" t="s">
        <v>650</v>
      </c>
      <c r="C441" t="s">
        <v>655</v>
      </c>
      <c r="D441" t="s">
        <v>202</v>
      </c>
      <c r="E441">
        <v>3</v>
      </c>
      <c r="F441">
        <v>6</v>
      </c>
      <c r="G441" t="s">
        <v>53</v>
      </c>
      <c r="H441" t="s">
        <v>50</v>
      </c>
      <c r="I441">
        <v>11.6</v>
      </c>
      <c r="J441">
        <v>8.4</v>
      </c>
      <c r="K441">
        <v>10.199999999999999</v>
      </c>
      <c r="L441">
        <v>28</v>
      </c>
      <c r="M441">
        <v>275</v>
      </c>
      <c r="O441">
        <f t="shared" si="12"/>
        <v>825</v>
      </c>
      <c r="P441">
        <f t="shared" si="13"/>
        <v>9</v>
      </c>
    </row>
    <row r="442" spans="1:16" x14ac:dyDescent="0.25">
      <c r="A442">
        <v>2014</v>
      </c>
      <c r="B442" t="s">
        <v>691</v>
      </c>
      <c r="C442" t="s">
        <v>716</v>
      </c>
      <c r="D442" t="s">
        <v>599</v>
      </c>
      <c r="E442">
        <v>2.7</v>
      </c>
      <c r="F442">
        <v>4</v>
      </c>
      <c r="G442" t="s">
        <v>126</v>
      </c>
      <c r="H442" t="s">
        <v>143</v>
      </c>
      <c r="I442">
        <v>11.3</v>
      </c>
      <c r="J442">
        <v>8.9</v>
      </c>
      <c r="K442">
        <v>10.199999999999999</v>
      </c>
      <c r="L442">
        <v>28</v>
      </c>
      <c r="M442">
        <v>235</v>
      </c>
      <c r="O442">
        <f t="shared" si="12"/>
        <v>634.5</v>
      </c>
      <c r="P442">
        <f t="shared" si="13"/>
        <v>7.2900000000000009</v>
      </c>
    </row>
    <row r="443" spans="1:16" x14ac:dyDescent="0.25">
      <c r="A443">
        <v>2014</v>
      </c>
      <c r="B443" t="s">
        <v>691</v>
      </c>
      <c r="C443" t="s">
        <v>721</v>
      </c>
      <c r="D443" t="s">
        <v>22</v>
      </c>
      <c r="E443">
        <v>2.7</v>
      </c>
      <c r="F443">
        <v>4</v>
      </c>
      <c r="G443" t="s">
        <v>23</v>
      </c>
      <c r="H443" t="s">
        <v>143</v>
      </c>
      <c r="I443">
        <v>11.6</v>
      </c>
      <c r="J443">
        <v>8.5</v>
      </c>
      <c r="K443">
        <v>10.199999999999999</v>
      </c>
      <c r="L443">
        <v>28</v>
      </c>
      <c r="M443">
        <v>235</v>
      </c>
      <c r="O443">
        <f t="shared" si="12"/>
        <v>634.5</v>
      </c>
      <c r="P443">
        <f t="shared" si="13"/>
        <v>7.2900000000000009</v>
      </c>
    </row>
    <row r="444" spans="1:16" x14ac:dyDescent="0.25">
      <c r="A444">
        <v>2014</v>
      </c>
      <c r="B444" t="s">
        <v>743</v>
      </c>
      <c r="C444" t="s">
        <v>746</v>
      </c>
      <c r="D444" t="s">
        <v>26</v>
      </c>
      <c r="E444">
        <v>3.2</v>
      </c>
      <c r="F444">
        <v>6</v>
      </c>
      <c r="G444" t="s">
        <v>23</v>
      </c>
      <c r="H444" t="s">
        <v>143</v>
      </c>
      <c r="I444">
        <v>11.9</v>
      </c>
      <c r="J444">
        <v>8.1</v>
      </c>
      <c r="K444">
        <v>10.199999999999999</v>
      </c>
      <c r="L444">
        <v>28</v>
      </c>
      <c r="M444">
        <v>235</v>
      </c>
      <c r="O444">
        <f t="shared" si="12"/>
        <v>752</v>
      </c>
      <c r="P444">
        <f t="shared" si="13"/>
        <v>10.240000000000002</v>
      </c>
    </row>
    <row r="445" spans="1:16" x14ac:dyDescent="0.25">
      <c r="A445">
        <v>2014</v>
      </c>
      <c r="B445" t="s">
        <v>41</v>
      </c>
      <c r="C445" t="s">
        <v>81</v>
      </c>
      <c r="D445" t="s">
        <v>35</v>
      </c>
      <c r="E445">
        <v>2</v>
      </c>
      <c r="F445">
        <v>4</v>
      </c>
      <c r="G445" t="s">
        <v>33</v>
      </c>
      <c r="H445" t="s">
        <v>17</v>
      </c>
      <c r="I445">
        <v>11.5</v>
      </c>
      <c r="J445">
        <v>8.8000000000000007</v>
      </c>
      <c r="K445">
        <v>10.3</v>
      </c>
      <c r="L445">
        <v>27</v>
      </c>
      <c r="M445">
        <v>237</v>
      </c>
      <c r="O445">
        <f t="shared" si="12"/>
        <v>474</v>
      </c>
      <c r="P445">
        <f t="shared" si="13"/>
        <v>4</v>
      </c>
    </row>
    <row r="446" spans="1:16" x14ac:dyDescent="0.25">
      <c r="A446">
        <v>2014</v>
      </c>
      <c r="B446" t="s">
        <v>41</v>
      </c>
      <c r="C446" t="s">
        <v>82</v>
      </c>
      <c r="D446" t="s">
        <v>37</v>
      </c>
      <c r="E446">
        <v>2</v>
      </c>
      <c r="F446">
        <v>4</v>
      </c>
      <c r="G446" t="s">
        <v>33</v>
      </c>
      <c r="H446" t="s">
        <v>17</v>
      </c>
      <c r="I446">
        <v>11.5</v>
      </c>
      <c r="J446">
        <v>8.8000000000000007</v>
      </c>
      <c r="K446">
        <v>10.3</v>
      </c>
      <c r="L446">
        <v>27</v>
      </c>
      <c r="M446">
        <v>237</v>
      </c>
      <c r="O446">
        <f t="shared" si="12"/>
        <v>474</v>
      </c>
      <c r="P446">
        <f t="shared" si="13"/>
        <v>4</v>
      </c>
    </row>
    <row r="447" spans="1:16" x14ac:dyDescent="0.25">
      <c r="A447">
        <v>2014</v>
      </c>
      <c r="B447" t="s">
        <v>90</v>
      </c>
      <c r="C447" t="s">
        <v>100</v>
      </c>
      <c r="D447" t="s">
        <v>15</v>
      </c>
      <c r="E447">
        <v>3</v>
      </c>
      <c r="F447">
        <v>6</v>
      </c>
      <c r="G447" t="s">
        <v>18</v>
      </c>
      <c r="H447" t="s">
        <v>17</v>
      </c>
      <c r="I447">
        <v>11.9</v>
      </c>
      <c r="J447">
        <v>8.3000000000000007</v>
      </c>
      <c r="K447">
        <v>10.3</v>
      </c>
      <c r="L447">
        <v>27</v>
      </c>
      <c r="M447">
        <v>237</v>
      </c>
      <c r="O447">
        <f t="shared" si="12"/>
        <v>711</v>
      </c>
      <c r="P447">
        <f t="shared" si="13"/>
        <v>9</v>
      </c>
    </row>
    <row r="448" spans="1:16" x14ac:dyDescent="0.25">
      <c r="A448">
        <v>2014</v>
      </c>
      <c r="B448" t="s">
        <v>90</v>
      </c>
      <c r="C448" t="s">
        <v>105</v>
      </c>
      <c r="D448" t="s">
        <v>15</v>
      </c>
      <c r="E448">
        <v>3</v>
      </c>
      <c r="F448">
        <v>6</v>
      </c>
      <c r="G448" t="s">
        <v>18</v>
      </c>
      <c r="H448" t="s">
        <v>17</v>
      </c>
      <c r="I448">
        <v>11.9</v>
      </c>
      <c r="J448">
        <v>8.3000000000000007</v>
      </c>
      <c r="K448">
        <v>10.3</v>
      </c>
      <c r="L448">
        <v>27</v>
      </c>
      <c r="M448">
        <v>237</v>
      </c>
      <c r="O448">
        <f t="shared" si="12"/>
        <v>711</v>
      </c>
      <c r="P448">
        <f t="shared" si="13"/>
        <v>9</v>
      </c>
    </row>
    <row r="449" spans="1:16" x14ac:dyDescent="0.25">
      <c r="A449">
        <v>2014</v>
      </c>
      <c r="B449" t="s">
        <v>218</v>
      </c>
      <c r="C449">
        <v>300</v>
      </c>
      <c r="D449" t="s">
        <v>56</v>
      </c>
      <c r="E449">
        <v>3.6</v>
      </c>
      <c r="F449">
        <v>6</v>
      </c>
      <c r="G449" t="s">
        <v>53</v>
      </c>
      <c r="H449" t="s">
        <v>143</v>
      </c>
      <c r="I449">
        <v>12.4</v>
      </c>
      <c r="J449">
        <v>7.7</v>
      </c>
      <c r="K449">
        <v>10.3</v>
      </c>
      <c r="L449">
        <v>27</v>
      </c>
      <c r="M449">
        <v>237</v>
      </c>
      <c r="O449">
        <f t="shared" si="12"/>
        <v>853.2</v>
      </c>
      <c r="P449">
        <f t="shared" si="13"/>
        <v>12.96</v>
      </c>
    </row>
    <row r="450" spans="1:16" x14ac:dyDescent="0.25">
      <c r="A450">
        <v>2014</v>
      </c>
      <c r="B450" t="s">
        <v>218</v>
      </c>
      <c r="C450" t="s">
        <v>228</v>
      </c>
      <c r="D450" t="s">
        <v>56</v>
      </c>
      <c r="E450">
        <v>3.6</v>
      </c>
      <c r="F450">
        <v>6</v>
      </c>
      <c r="G450" t="s">
        <v>53</v>
      </c>
      <c r="H450" t="s">
        <v>143</v>
      </c>
      <c r="I450">
        <v>12.4</v>
      </c>
      <c r="J450">
        <v>7.7</v>
      </c>
      <c r="K450">
        <v>10.3</v>
      </c>
      <c r="L450">
        <v>27</v>
      </c>
      <c r="M450">
        <v>237</v>
      </c>
      <c r="O450">
        <f t="shared" si="12"/>
        <v>853.2</v>
      </c>
      <c r="P450">
        <f t="shared" si="13"/>
        <v>12.96</v>
      </c>
    </row>
    <row r="451" spans="1:16" x14ac:dyDescent="0.25">
      <c r="A451">
        <v>2014</v>
      </c>
      <c r="B451" t="s">
        <v>232</v>
      </c>
      <c r="C451" t="s">
        <v>239</v>
      </c>
      <c r="D451" t="s">
        <v>56</v>
      </c>
      <c r="E451">
        <v>3.6</v>
      </c>
      <c r="F451">
        <v>6</v>
      </c>
      <c r="G451" t="s">
        <v>53</v>
      </c>
      <c r="H451" t="s">
        <v>143</v>
      </c>
      <c r="I451">
        <v>12.4</v>
      </c>
      <c r="J451">
        <v>7.7</v>
      </c>
      <c r="K451">
        <v>10.3</v>
      </c>
      <c r="L451">
        <v>27</v>
      </c>
      <c r="M451">
        <v>237</v>
      </c>
      <c r="O451">
        <f t="shared" ref="O451:O514" si="14">M451*E451</f>
        <v>853.2</v>
      </c>
      <c r="P451">
        <f t="shared" ref="P451:P514" si="15">E451*E451</f>
        <v>12.96</v>
      </c>
    </row>
    <row r="452" spans="1:16" x14ac:dyDescent="0.25">
      <c r="A452">
        <v>2014</v>
      </c>
      <c r="B452" t="s">
        <v>265</v>
      </c>
      <c r="C452" t="s">
        <v>292</v>
      </c>
      <c r="D452" t="s">
        <v>15</v>
      </c>
      <c r="E452">
        <v>2</v>
      </c>
      <c r="F452">
        <v>4</v>
      </c>
      <c r="G452" t="s">
        <v>33</v>
      </c>
      <c r="H452" t="s">
        <v>148</v>
      </c>
      <c r="I452">
        <v>11.7</v>
      </c>
      <c r="J452">
        <v>8.5</v>
      </c>
      <c r="K452">
        <v>10.3</v>
      </c>
      <c r="L452">
        <v>27</v>
      </c>
      <c r="M452">
        <v>165</v>
      </c>
      <c r="O452">
        <f t="shared" si="14"/>
        <v>330</v>
      </c>
      <c r="P452">
        <f t="shared" si="15"/>
        <v>4</v>
      </c>
    </row>
    <row r="453" spans="1:16" x14ac:dyDescent="0.25">
      <c r="A453">
        <v>2014</v>
      </c>
      <c r="B453" t="s">
        <v>265</v>
      </c>
      <c r="C453" t="s">
        <v>292</v>
      </c>
      <c r="D453" t="s">
        <v>15</v>
      </c>
      <c r="E453">
        <v>2</v>
      </c>
      <c r="F453">
        <v>4</v>
      </c>
      <c r="G453" t="s">
        <v>23</v>
      </c>
      <c r="H453" t="s">
        <v>148</v>
      </c>
      <c r="I453">
        <v>11.7</v>
      </c>
      <c r="J453">
        <v>8.5</v>
      </c>
      <c r="K453">
        <v>10.3</v>
      </c>
      <c r="L453">
        <v>27</v>
      </c>
      <c r="M453">
        <v>165</v>
      </c>
      <c r="O453">
        <f t="shared" si="14"/>
        <v>330</v>
      </c>
      <c r="P453">
        <f t="shared" si="15"/>
        <v>4</v>
      </c>
    </row>
    <row r="454" spans="1:16" x14ac:dyDescent="0.25">
      <c r="A454">
        <v>2014</v>
      </c>
      <c r="B454" t="s">
        <v>265</v>
      </c>
      <c r="C454" t="s">
        <v>302</v>
      </c>
      <c r="D454" t="s">
        <v>56</v>
      </c>
      <c r="E454">
        <v>3.5</v>
      </c>
      <c r="F454">
        <v>6</v>
      </c>
      <c r="G454" t="s">
        <v>23</v>
      </c>
      <c r="H454" t="s">
        <v>143</v>
      </c>
      <c r="I454">
        <v>12.1</v>
      </c>
      <c r="J454">
        <v>8.1</v>
      </c>
      <c r="K454">
        <v>10.3</v>
      </c>
      <c r="L454">
        <v>27</v>
      </c>
      <c r="M454">
        <v>237</v>
      </c>
      <c r="O454">
        <f t="shared" si="14"/>
        <v>829.5</v>
      </c>
      <c r="P454">
        <f t="shared" si="15"/>
        <v>12.25</v>
      </c>
    </row>
    <row r="455" spans="1:16" x14ac:dyDescent="0.25">
      <c r="A455">
        <v>2014</v>
      </c>
      <c r="B455" t="s">
        <v>342</v>
      </c>
      <c r="C455" t="s">
        <v>349</v>
      </c>
      <c r="D455" t="s">
        <v>22</v>
      </c>
      <c r="E455">
        <v>2.4</v>
      </c>
      <c r="F455">
        <v>4</v>
      </c>
      <c r="G455" t="s">
        <v>33</v>
      </c>
      <c r="H455" t="s">
        <v>143</v>
      </c>
      <c r="I455">
        <v>11.6</v>
      </c>
      <c r="J455">
        <v>8.6999999999999993</v>
      </c>
      <c r="K455">
        <v>10.3</v>
      </c>
      <c r="L455">
        <v>27</v>
      </c>
      <c r="M455">
        <v>237</v>
      </c>
      <c r="O455">
        <f t="shared" si="14"/>
        <v>568.79999999999995</v>
      </c>
      <c r="P455">
        <f t="shared" si="15"/>
        <v>5.76</v>
      </c>
    </row>
    <row r="456" spans="1:16" x14ac:dyDescent="0.25">
      <c r="A456">
        <v>2014</v>
      </c>
      <c r="B456" t="s">
        <v>376</v>
      </c>
      <c r="C456" t="s">
        <v>377</v>
      </c>
      <c r="D456" t="s">
        <v>37</v>
      </c>
      <c r="E456">
        <v>3</v>
      </c>
      <c r="F456">
        <v>6</v>
      </c>
      <c r="G456" t="s">
        <v>45</v>
      </c>
      <c r="H456" t="s">
        <v>17</v>
      </c>
      <c r="I456">
        <v>11.8</v>
      </c>
      <c r="J456">
        <v>8.4</v>
      </c>
      <c r="K456">
        <v>10.3</v>
      </c>
      <c r="L456">
        <v>27</v>
      </c>
      <c r="M456">
        <v>237</v>
      </c>
      <c r="O456">
        <f t="shared" si="14"/>
        <v>711</v>
      </c>
      <c r="P456">
        <f t="shared" si="15"/>
        <v>9</v>
      </c>
    </row>
    <row r="457" spans="1:16" x14ac:dyDescent="0.25">
      <c r="A457">
        <v>2014</v>
      </c>
      <c r="B457" t="s">
        <v>414</v>
      </c>
      <c r="C457" t="s">
        <v>425</v>
      </c>
      <c r="D457" t="s">
        <v>22</v>
      </c>
      <c r="E457">
        <v>2.4</v>
      </c>
      <c r="F457">
        <v>4</v>
      </c>
      <c r="G457" t="s">
        <v>33</v>
      </c>
      <c r="H457" t="s">
        <v>143</v>
      </c>
      <c r="I457">
        <v>11.8</v>
      </c>
      <c r="J457">
        <v>8.5</v>
      </c>
      <c r="K457">
        <v>10.3</v>
      </c>
      <c r="L457">
        <v>27</v>
      </c>
      <c r="M457">
        <v>237</v>
      </c>
      <c r="O457">
        <f t="shared" si="14"/>
        <v>568.79999999999995</v>
      </c>
      <c r="P457">
        <f t="shared" si="15"/>
        <v>5.76</v>
      </c>
    </row>
    <row r="458" spans="1:16" x14ac:dyDescent="0.25">
      <c r="A458">
        <v>2014</v>
      </c>
      <c r="B458" t="s">
        <v>506</v>
      </c>
      <c r="C458" t="s">
        <v>548</v>
      </c>
      <c r="D458" t="s">
        <v>64</v>
      </c>
      <c r="E458">
        <v>3</v>
      </c>
      <c r="F458">
        <v>6</v>
      </c>
      <c r="G458" t="s">
        <v>360</v>
      </c>
      <c r="H458" t="s">
        <v>50</v>
      </c>
      <c r="I458">
        <v>11.8</v>
      </c>
      <c r="J458">
        <v>8.5</v>
      </c>
      <c r="K458">
        <v>10.3</v>
      </c>
      <c r="L458">
        <v>27</v>
      </c>
      <c r="M458">
        <v>278</v>
      </c>
      <c r="O458">
        <f t="shared" si="14"/>
        <v>834</v>
      </c>
      <c r="P458">
        <f t="shared" si="15"/>
        <v>9</v>
      </c>
    </row>
    <row r="459" spans="1:16" x14ac:dyDescent="0.25">
      <c r="A459">
        <v>2014</v>
      </c>
      <c r="B459" t="s">
        <v>618</v>
      </c>
      <c r="C459" t="s">
        <v>620</v>
      </c>
      <c r="D459" t="s">
        <v>32</v>
      </c>
      <c r="E459">
        <v>3.4</v>
      </c>
      <c r="F459">
        <v>6</v>
      </c>
      <c r="G459" t="s">
        <v>38</v>
      </c>
      <c r="H459" t="s">
        <v>17</v>
      </c>
      <c r="I459">
        <v>11.8</v>
      </c>
      <c r="J459">
        <v>8.5</v>
      </c>
      <c r="K459">
        <v>10.3</v>
      </c>
      <c r="L459">
        <v>27</v>
      </c>
      <c r="M459">
        <v>237</v>
      </c>
      <c r="O459">
        <f t="shared" si="14"/>
        <v>805.8</v>
      </c>
      <c r="P459">
        <f t="shared" si="15"/>
        <v>11.559999999999999</v>
      </c>
    </row>
    <row r="460" spans="1:16" x14ac:dyDescent="0.25">
      <c r="A460">
        <v>2014</v>
      </c>
      <c r="B460" t="s">
        <v>691</v>
      </c>
      <c r="C460" t="s">
        <v>703</v>
      </c>
      <c r="D460" t="s">
        <v>22</v>
      </c>
      <c r="E460">
        <v>2.7</v>
      </c>
      <c r="F460">
        <v>4</v>
      </c>
      <c r="G460" t="s">
        <v>23</v>
      </c>
      <c r="H460" t="s">
        <v>143</v>
      </c>
      <c r="I460">
        <v>11.7</v>
      </c>
      <c r="J460">
        <v>8.6</v>
      </c>
      <c r="K460">
        <v>10.3</v>
      </c>
      <c r="L460">
        <v>27</v>
      </c>
      <c r="M460">
        <v>237</v>
      </c>
      <c r="O460">
        <f t="shared" si="14"/>
        <v>639.90000000000009</v>
      </c>
      <c r="P460">
        <f t="shared" si="15"/>
        <v>7.2900000000000009</v>
      </c>
    </row>
    <row r="461" spans="1:16" x14ac:dyDescent="0.25">
      <c r="A461">
        <v>2014</v>
      </c>
      <c r="B461" t="s">
        <v>13</v>
      </c>
      <c r="C461" t="s">
        <v>29</v>
      </c>
      <c r="D461" t="s">
        <v>15</v>
      </c>
      <c r="E461">
        <v>3.5</v>
      </c>
      <c r="F461">
        <v>6</v>
      </c>
      <c r="G461" t="s">
        <v>16</v>
      </c>
      <c r="H461" t="s">
        <v>17</v>
      </c>
      <c r="I461">
        <v>12.1</v>
      </c>
      <c r="J461">
        <v>8.3000000000000007</v>
      </c>
      <c r="K461">
        <v>10.4</v>
      </c>
      <c r="L461">
        <v>27</v>
      </c>
      <c r="M461">
        <v>239</v>
      </c>
      <c r="O461">
        <f t="shared" si="14"/>
        <v>836.5</v>
      </c>
      <c r="P461">
        <f t="shared" si="15"/>
        <v>12.25</v>
      </c>
    </row>
    <row r="462" spans="1:16" x14ac:dyDescent="0.25">
      <c r="A462">
        <v>2014</v>
      </c>
      <c r="B462" t="s">
        <v>41</v>
      </c>
      <c r="C462" t="s">
        <v>60</v>
      </c>
      <c r="D462" t="s">
        <v>22</v>
      </c>
      <c r="E462">
        <v>2</v>
      </c>
      <c r="F462">
        <v>4</v>
      </c>
      <c r="G462" t="s">
        <v>45</v>
      </c>
      <c r="H462" t="s">
        <v>17</v>
      </c>
      <c r="I462">
        <v>12</v>
      </c>
      <c r="J462">
        <v>8.5</v>
      </c>
      <c r="K462">
        <v>10.4</v>
      </c>
      <c r="L462">
        <v>27</v>
      </c>
      <c r="M462">
        <v>239</v>
      </c>
      <c r="O462">
        <f t="shared" si="14"/>
        <v>478</v>
      </c>
      <c r="P462">
        <f t="shared" si="15"/>
        <v>4</v>
      </c>
    </row>
    <row r="463" spans="1:16" x14ac:dyDescent="0.25">
      <c r="A463">
        <v>2014</v>
      </c>
      <c r="B463" t="s">
        <v>265</v>
      </c>
      <c r="C463" t="s">
        <v>307</v>
      </c>
      <c r="D463" t="s">
        <v>305</v>
      </c>
      <c r="E463">
        <v>2.5</v>
      </c>
      <c r="F463">
        <v>4</v>
      </c>
      <c r="G463" t="s">
        <v>23</v>
      </c>
      <c r="H463" t="s">
        <v>143</v>
      </c>
      <c r="I463">
        <v>11.9</v>
      </c>
      <c r="J463">
        <v>8.5</v>
      </c>
      <c r="K463">
        <v>10.4</v>
      </c>
      <c r="L463">
        <v>27</v>
      </c>
      <c r="M463">
        <v>239</v>
      </c>
      <c r="O463">
        <f t="shared" si="14"/>
        <v>597.5</v>
      </c>
      <c r="P463">
        <f t="shared" si="15"/>
        <v>6.25</v>
      </c>
    </row>
    <row r="464" spans="1:16" x14ac:dyDescent="0.25">
      <c r="A464">
        <v>2014</v>
      </c>
      <c r="B464" t="s">
        <v>450</v>
      </c>
      <c r="C464" t="s">
        <v>455</v>
      </c>
      <c r="D464" t="s">
        <v>26</v>
      </c>
      <c r="E464">
        <v>3.5</v>
      </c>
      <c r="F464">
        <v>6</v>
      </c>
      <c r="G464" t="s">
        <v>45</v>
      </c>
      <c r="H464" t="s">
        <v>17</v>
      </c>
      <c r="I464">
        <v>12.1</v>
      </c>
      <c r="J464">
        <v>8.3000000000000007</v>
      </c>
      <c r="K464">
        <v>10.4</v>
      </c>
      <c r="L464">
        <v>27</v>
      </c>
      <c r="M464">
        <v>239</v>
      </c>
      <c r="O464">
        <f t="shared" si="14"/>
        <v>836.5</v>
      </c>
      <c r="P464">
        <f t="shared" si="15"/>
        <v>12.25</v>
      </c>
    </row>
    <row r="465" spans="1:16" x14ac:dyDescent="0.25">
      <c r="A465">
        <v>2014</v>
      </c>
      <c r="B465" t="s">
        <v>450</v>
      </c>
      <c r="C465" t="s">
        <v>460</v>
      </c>
      <c r="D465" t="s">
        <v>15</v>
      </c>
      <c r="E465">
        <v>2.5</v>
      </c>
      <c r="F465">
        <v>6</v>
      </c>
      <c r="G465" t="s">
        <v>23</v>
      </c>
      <c r="H465" t="s">
        <v>17</v>
      </c>
      <c r="I465">
        <v>11.8</v>
      </c>
      <c r="J465">
        <v>8.6999999999999993</v>
      </c>
      <c r="K465">
        <v>10.4</v>
      </c>
      <c r="L465">
        <v>27</v>
      </c>
      <c r="M465">
        <v>239</v>
      </c>
      <c r="O465">
        <f t="shared" si="14"/>
        <v>597.5</v>
      </c>
      <c r="P465">
        <f t="shared" si="15"/>
        <v>6.25</v>
      </c>
    </row>
    <row r="466" spans="1:16" x14ac:dyDescent="0.25">
      <c r="A466">
        <v>2014</v>
      </c>
      <c r="B466" t="s">
        <v>506</v>
      </c>
      <c r="C466" t="s">
        <v>512</v>
      </c>
      <c r="D466" t="s">
        <v>15</v>
      </c>
      <c r="E466">
        <v>3.5</v>
      </c>
      <c r="F466">
        <v>6</v>
      </c>
      <c r="G466" t="s">
        <v>360</v>
      </c>
      <c r="H466" t="s">
        <v>17</v>
      </c>
      <c r="I466">
        <v>11.9</v>
      </c>
      <c r="J466">
        <v>8.6</v>
      </c>
      <c r="K466">
        <v>10.4</v>
      </c>
      <c r="L466">
        <v>27</v>
      </c>
      <c r="M466">
        <v>239</v>
      </c>
      <c r="O466">
        <f t="shared" si="14"/>
        <v>836.5</v>
      </c>
      <c r="P466">
        <f t="shared" si="15"/>
        <v>12.25</v>
      </c>
    </row>
    <row r="467" spans="1:16" x14ac:dyDescent="0.25">
      <c r="A467">
        <v>2014</v>
      </c>
      <c r="B467" t="s">
        <v>506</v>
      </c>
      <c r="C467" t="s">
        <v>527</v>
      </c>
      <c r="D467" t="s">
        <v>35</v>
      </c>
      <c r="E467">
        <v>3.5</v>
      </c>
      <c r="F467">
        <v>6</v>
      </c>
      <c r="G467" t="s">
        <v>360</v>
      </c>
      <c r="H467" t="s">
        <v>17</v>
      </c>
      <c r="I467">
        <v>11.9</v>
      </c>
      <c r="J467">
        <v>8.5</v>
      </c>
      <c r="K467">
        <v>10.4</v>
      </c>
      <c r="L467">
        <v>27</v>
      </c>
      <c r="M467">
        <v>239</v>
      </c>
      <c r="O467">
        <f t="shared" si="14"/>
        <v>836.5</v>
      </c>
      <c r="P467">
        <f t="shared" si="15"/>
        <v>12.25</v>
      </c>
    </row>
    <row r="468" spans="1:16" x14ac:dyDescent="0.25">
      <c r="A468">
        <v>2014</v>
      </c>
      <c r="B468" t="s">
        <v>506</v>
      </c>
      <c r="C468" t="s">
        <v>529</v>
      </c>
      <c r="D468" t="s">
        <v>35</v>
      </c>
      <c r="E468">
        <v>3.5</v>
      </c>
      <c r="F468">
        <v>6</v>
      </c>
      <c r="G468" t="s">
        <v>360</v>
      </c>
      <c r="H468" t="s">
        <v>17</v>
      </c>
      <c r="I468">
        <v>12</v>
      </c>
      <c r="J468">
        <v>8.5</v>
      </c>
      <c r="K468">
        <v>10.4</v>
      </c>
      <c r="L468">
        <v>27</v>
      </c>
      <c r="M468">
        <v>239</v>
      </c>
      <c r="O468">
        <f t="shared" si="14"/>
        <v>836.5</v>
      </c>
      <c r="P468">
        <f t="shared" si="15"/>
        <v>12.25</v>
      </c>
    </row>
    <row r="469" spans="1:16" x14ac:dyDescent="0.25">
      <c r="A469">
        <v>2014</v>
      </c>
      <c r="B469" t="s">
        <v>618</v>
      </c>
      <c r="C469" t="s">
        <v>633</v>
      </c>
      <c r="D469" t="s">
        <v>37</v>
      </c>
      <c r="E469">
        <v>3.4</v>
      </c>
      <c r="F469">
        <v>6</v>
      </c>
      <c r="G469" t="s">
        <v>18</v>
      </c>
      <c r="H469" t="s">
        <v>17</v>
      </c>
      <c r="I469">
        <v>11.9</v>
      </c>
      <c r="J469">
        <v>8.6</v>
      </c>
      <c r="K469">
        <v>10.4</v>
      </c>
      <c r="L469">
        <v>27</v>
      </c>
      <c r="M469">
        <v>239</v>
      </c>
      <c r="O469">
        <f t="shared" si="14"/>
        <v>812.6</v>
      </c>
      <c r="P469">
        <f t="shared" si="15"/>
        <v>11.559999999999999</v>
      </c>
    </row>
    <row r="470" spans="1:16" x14ac:dyDescent="0.25">
      <c r="A470">
        <v>2014</v>
      </c>
      <c r="B470" t="s">
        <v>618</v>
      </c>
      <c r="C470" t="s">
        <v>635</v>
      </c>
      <c r="D470" t="s">
        <v>64</v>
      </c>
      <c r="E470">
        <v>3</v>
      </c>
      <c r="F470">
        <v>6</v>
      </c>
      <c r="G470" t="s">
        <v>53</v>
      </c>
      <c r="H470" t="s">
        <v>50</v>
      </c>
      <c r="I470">
        <v>12.2</v>
      </c>
      <c r="J470">
        <v>8.1</v>
      </c>
      <c r="K470">
        <v>10.4</v>
      </c>
      <c r="L470">
        <v>27</v>
      </c>
      <c r="M470">
        <v>281</v>
      </c>
      <c r="O470">
        <f t="shared" si="14"/>
        <v>843</v>
      </c>
      <c r="P470">
        <f t="shared" si="15"/>
        <v>9</v>
      </c>
    </row>
    <row r="471" spans="1:16" x14ac:dyDescent="0.25">
      <c r="A471">
        <v>2014</v>
      </c>
      <c r="B471" t="s">
        <v>618</v>
      </c>
      <c r="C471" t="s">
        <v>641</v>
      </c>
      <c r="D471" t="s">
        <v>37</v>
      </c>
      <c r="E471">
        <v>3.4</v>
      </c>
      <c r="F471">
        <v>6</v>
      </c>
      <c r="G471" t="s">
        <v>18</v>
      </c>
      <c r="H471" t="s">
        <v>17</v>
      </c>
      <c r="I471">
        <v>11.9</v>
      </c>
      <c r="J471">
        <v>8.6</v>
      </c>
      <c r="K471">
        <v>10.4</v>
      </c>
      <c r="L471">
        <v>27</v>
      </c>
      <c r="M471">
        <v>239</v>
      </c>
      <c r="O471">
        <f t="shared" si="14"/>
        <v>812.6</v>
      </c>
      <c r="P471">
        <f t="shared" si="15"/>
        <v>11.559999999999999</v>
      </c>
    </row>
    <row r="472" spans="1:16" x14ac:dyDescent="0.25">
      <c r="A472">
        <v>2014</v>
      </c>
      <c r="B472" t="s">
        <v>723</v>
      </c>
      <c r="C472" t="s">
        <v>742</v>
      </c>
      <c r="D472" t="s">
        <v>64</v>
      </c>
      <c r="E472">
        <v>3</v>
      </c>
      <c r="F472">
        <v>6</v>
      </c>
      <c r="G472" t="s">
        <v>45</v>
      </c>
      <c r="H472" t="s">
        <v>50</v>
      </c>
      <c r="I472">
        <v>12.3</v>
      </c>
      <c r="J472">
        <v>8</v>
      </c>
      <c r="K472">
        <v>10.4</v>
      </c>
      <c r="L472">
        <v>27</v>
      </c>
      <c r="M472">
        <v>281</v>
      </c>
      <c r="O472">
        <f t="shared" si="14"/>
        <v>843</v>
      </c>
      <c r="P472">
        <f t="shared" si="15"/>
        <v>9</v>
      </c>
    </row>
    <row r="473" spans="1:16" x14ac:dyDescent="0.25">
      <c r="A473">
        <v>2014</v>
      </c>
      <c r="B473" t="s">
        <v>41</v>
      </c>
      <c r="C473" t="s">
        <v>58</v>
      </c>
      <c r="D473" t="s">
        <v>59</v>
      </c>
      <c r="E473">
        <v>2</v>
      </c>
      <c r="F473">
        <v>4</v>
      </c>
      <c r="G473" t="s">
        <v>45</v>
      </c>
      <c r="H473" t="s">
        <v>17</v>
      </c>
      <c r="I473">
        <v>11.8</v>
      </c>
      <c r="J473">
        <v>8.8000000000000007</v>
      </c>
      <c r="K473">
        <v>10.5</v>
      </c>
      <c r="L473">
        <v>27</v>
      </c>
      <c r="M473">
        <v>242</v>
      </c>
      <c r="O473">
        <f t="shared" si="14"/>
        <v>484</v>
      </c>
      <c r="P473">
        <f t="shared" si="15"/>
        <v>4</v>
      </c>
    </row>
    <row r="474" spans="1:16" x14ac:dyDescent="0.25">
      <c r="A474">
        <v>2014</v>
      </c>
      <c r="B474" t="s">
        <v>175</v>
      </c>
      <c r="C474" t="s">
        <v>177</v>
      </c>
      <c r="D474" t="s">
        <v>15</v>
      </c>
      <c r="E474">
        <v>3.6</v>
      </c>
      <c r="F474">
        <v>6</v>
      </c>
      <c r="G474" t="s">
        <v>23</v>
      </c>
      <c r="H474" t="s">
        <v>143</v>
      </c>
      <c r="I474">
        <v>12.7</v>
      </c>
      <c r="J474">
        <v>7.9</v>
      </c>
      <c r="K474">
        <v>10.5</v>
      </c>
      <c r="L474">
        <v>27</v>
      </c>
      <c r="M474">
        <v>242</v>
      </c>
      <c r="O474">
        <f t="shared" si="14"/>
        <v>871.2</v>
      </c>
      <c r="P474">
        <f t="shared" si="15"/>
        <v>12.96</v>
      </c>
    </row>
    <row r="475" spans="1:16" x14ac:dyDescent="0.25">
      <c r="A475">
        <v>2014</v>
      </c>
      <c r="B475" t="s">
        <v>218</v>
      </c>
      <c r="C475" t="s">
        <v>220</v>
      </c>
      <c r="D475" t="s">
        <v>15</v>
      </c>
      <c r="E475">
        <v>3.6</v>
      </c>
      <c r="F475">
        <v>6</v>
      </c>
      <c r="G475" t="s">
        <v>33</v>
      </c>
      <c r="H475" t="s">
        <v>143</v>
      </c>
      <c r="I475">
        <v>12.5</v>
      </c>
      <c r="J475">
        <v>8.1</v>
      </c>
      <c r="K475">
        <v>10.5</v>
      </c>
      <c r="L475">
        <v>27</v>
      </c>
      <c r="M475">
        <v>242</v>
      </c>
      <c r="O475">
        <f t="shared" si="14"/>
        <v>871.2</v>
      </c>
      <c r="P475">
        <f t="shared" si="15"/>
        <v>12.96</v>
      </c>
    </row>
    <row r="476" spans="1:16" x14ac:dyDescent="0.25">
      <c r="A476">
        <v>2014</v>
      </c>
      <c r="B476" t="s">
        <v>218</v>
      </c>
      <c r="C476" t="s">
        <v>222</v>
      </c>
      <c r="D476" t="s">
        <v>26</v>
      </c>
      <c r="E476">
        <v>3.6</v>
      </c>
      <c r="F476">
        <v>6</v>
      </c>
      <c r="G476" t="s">
        <v>33</v>
      </c>
      <c r="H476" t="s">
        <v>143</v>
      </c>
      <c r="I476">
        <v>12.5</v>
      </c>
      <c r="J476">
        <v>8.1</v>
      </c>
      <c r="K476">
        <v>10.5</v>
      </c>
      <c r="L476">
        <v>27</v>
      </c>
      <c r="M476">
        <v>242</v>
      </c>
      <c r="O476">
        <f t="shared" si="14"/>
        <v>871.2</v>
      </c>
      <c r="P476">
        <f t="shared" si="15"/>
        <v>12.96</v>
      </c>
    </row>
    <row r="477" spans="1:16" x14ac:dyDescent="0.25">
      <c r="A477">
        <v>2014</v>
      </c>
      <c r="B477" t="s">
        <v>232</v>
      </c>
      <c r="C477" t="s">
        <v>234</v>
      </c>
      <c r="D477" t="s">
        <v>26</v>
      </c>
      <c r="E477">
        <v>3.6</v>
      </c>
      <c r="F477">
        <v>6</v>
      </c>
      <c r="G477" t="s">
        <v>33</v>
      </c>
      <c r="H477" t="s">
        <v>143</v>
      </c>
      <c r="I477">
        <v>12.5</v>
      </c>
      <c r="J477">
        <v>8.1</v>
      </c>
      <c r="K477">
        <v>10.5</v>
      </c>
      <c r="L477">
        <v>27</v>
      </c>
      <c r="M477">
        <v>242</v>
      </c>
      <c r="O477">
        <f t="shared" si="14"/>
        <v>871.2</v>
      </c>
      <c r="P477">
        <f t="shared" si="15"/>
        <v>12.96</v>
      </c>
    </row>
    <row r="478" spans="1:16" x14ac:dyDescent="0.25">
      <c r="A478">
        <v>2014</v>
      </c>
      <c r="B478" t="s">
        <v>342</v>
      </c>
      <c r="C478" t="s">
        <v>355</v>
      </c>
      <c r="D478" t="s">
        <v>22</v>
      </c>
      <c r="E478">
        <v>2</v>
      </c>
      <c r="F478">
        <v>4</v>
      </c>
      <c r="G478" t="s">
        <v>33</v>
      </c>
      <c r="H478" t="s">
        <v>143</v>
      </c>
      <c r="I478">
        <v>11.4</v>
      </c>
      <c r="J478">
        <v>9.3000000000000007</v>
      </c>
      <c r="K478">
        <v>10.5</v>
      </c>
      <c r="L478">
        <v>27</v>
      </c>
      <c r="M478">
        <v>242</v>
      </c>
      <c r="O478">
        <f t="shared" si="14"/>
        <v>484</v>
      </c>
      <c r="P478">
        <f t="shared" si="15"/>
        <v>4</v>
      </c>
    </row>
    <row r="479" spans="1:16" x14ac:dyDescent="0.25">
      <c r="A479">
        <v>2014</v>
      </c>
      <c r="B479" t="s">
        <v>376</v>
      </c>
      <c r="C479" t="s">
        <v>380</v>
      </c>
      <c r="D479" t="s">
        <v>26</v>
      </c>
      <c r="E479">
        <v>2</v>
      </c>
      <c r="F479">
        <v>4</v>
      </c>
      <c r="G479" t="s">
        <v>45</v>
      </c>
      <c r="H479" t="s">
        <v>17</v>
      </c>
      <c r="I479">
        <v>12.3</v>
      </c>
      <c r="J479">
        <v>8.1999999999999993</v>
      </c>
      <c r="K479">
        <v>10.5</v>
      </c>
      <c r="L479">
        <v>27</v>
      </c>
      <c r="M479">
        <v>242</v>
      </c>
      <c r="O479">
        <f t="shared" si="14"/>
        <v>484</v>
      </c>
      <c r="P479">
        <f t="shared" si="15"/>
        <v>4</v>
      </c>
    </row>
    <row r="480" spans="1:16" x14ac:dyDescent="0.25">
      <c r="A480">
        <v>2014</v>
      </c>
      <c r="B480" t="s">
        <v>396</v>
      </c>
      <c r="C480" t="s">
        <v>397</v>
      </c>
      <c r="D480" t="s">
        <v>22</v>
      </c>
      <c r="E480">
        <v>3.2</v>
      </c>
      <c r="F480">
        <v>6</v>
      </c>
      <c r="G480" t="s">
        <v>398</v>
      </c>
      <c r="H480" t="s">
        <v>143</v>
      </c>
      <c r="I480">
        <v>12.3</v>
      </c>
      <c r="J480">
        <v>8.3000000000000007</v>
      </c>
      <c r="K480">
        <v>10.5</v>
      </c>
      <c r="L480">
        <v>27</v>
      </c>
      <c r="M480">
        <v>242</v>
      </c>
      <c r="O480">
        <f t="shared" si="14"/>
        <v>774.40000000000009</v>
      </c>
      <c r="P480">
        <f t="shared" si="15"/>
        <v>10.240000000000002</v>
      </c>
    </row>
    <row r="481" spans="1:16" x14ac:dyDescent="0.25">
      <c r="A481">
        <v>2014</v>
      </c>
      <c r="B481" t="s">
        <v>506</v>
      </c>
      <c r="C481" t="s">
        <v>510</v>
      </c>
      <c r="D481" t="s">
        <v>15</v>
      </c>
      <c r="E481">
        <v>3.5</v>
      </c>
      <c r="F481">
        <v>6</v>
      </c>
      <c r="G481" t="s">
        <v>360</v>
      </c>
      <c r="H481" t="s">
        <v>17</v>
      </c>
      <c r="I481">
        <v>12.2</v>
      </c>
      <c r="J481">
        <v>8.5</v>
      </c>
      <c r="K481">
        <v>10.5</v>
      </c>
      <c r="L481">
        <v>27</v>
      </c>
      <c r="M481">
        <v>242</v>
      </c>
      <c r="O481">
        <f t="shared" si="14"/>
        <v>847</v>
      </c>
      <c r="P481">
        <f t="shared" si="15"/>
        <v>12.25</v>
      </c>
    </row>
    <row r="482" spans="1:16" x14ac:dyDescent="0.25">
      <c r="A482">
        <v>2014</v>
      </c>
      <c r="B482" t="s">
        <v>506</v>
      </c>
      <c r="C482" t="s">
        <v>511</v>
      </c>
      <c r="D482" t="s">
        <v>15</v>
      </c>
      <c r="E482">
        <v>3.5</v>
      </c>
      <c r="F482">
        <v>6</v>
      </c>
      <c r="G482" t="s">
        <v>360</v>
      </c>
      <c r="H482" t="s">
        <v>17</v>
      </c>
      <c r="I482">
        <v>12</v>
      </c>
      <c r="J482">
        <v>8.6</v>
      </c>
      <c r="K482">
        <v>10.5</v>
      </c>
      <c r="L482">
        <v>27</v>
      </c>
      <c r="M482">
        <v>242</v>
      </c>
      <c r="O482">
        <f t="shared" si="14"/>
        <v>847</v>
      </c>
      <c r="P482">
        <f t="shared" si="15"/>
        <v>12.25</v>
      </c>
    </row>
    <row r="483" spans="1:16" x14ac:dyDescent="0.25">
      <c r="A483">
        <v>2014</v>
      </c>
      <c r="B483" t="s">
        <v>506</v>
      </c>
      <c r="C483" t="s">
        <v>514</v>
      </c>
      <c r="D483" t="s">
        <v>35</v>
      </c>
      <c r="E483">
        <v>3.5</v>
      </c>
      <c r="F483">
        <v>6</v>
      </c>
      <c r="G483" t="s">
        <v>360</v>
      </c>
      <c r="H483" t="s">
        <v>17</v>
      </c>
      <c r="I483">
        <v>12.1</v>
      </c>
      <c r="J483">
        <v>8.6</v>
      </c>
      <c r="K483">
        <v>10.5</v>
      </c>
      <c r="L483">
        <v>27</v>
      </c>
      <c r="M483">
        <v>242</v>
      </c>
      <c r="O483">
        <f t="shared" si="14"/>
        <v>847</v>
      </c>
      <c r="P483">
        <f t="shared" si="15"/>
        <v>12.25</v>
      </c>
    </row>
    <row r="484" spans="1:16" x14ac:dyDescent="0.25">
      <c r="A484">
        <v>2014</v>
      </c>
      <c r="B484" t="s">
        <v>506</v>
      </c>
      <c r="C484" t="s">
        <v>528</v>
      </c>
      <c r="D484" t="s">
        <v>423</v>
      </c>
      <c r="E484">
        <v>3.5</v>
      </c>
      <c r="F484">
        <v>6</v>
      </c>
      <c r="G484" t="s">
        <v>360</v>
      </c>
      <c r="H484" t="s">
        <v>17</v>
      </c>
      <c r="I484">
        <v>12.1</v>
      </c>
      <c r="J484">
        <v>8.6</v>
      </c>
      <c r="K484">
        <v>10.5</v>
      </c>
      <c r="L484">
        <v>27</v>
      </c>
      <c r="M484">
        <v>242</v>
      </c>
      <c r="O484">
        <f t="shared" si="14"/>
        <v>847</v>
      </c>
      <c r="P484">
        <f t="shared" si="15"/>
        <v>12.25</v>
      </c>
    </row>
    <row r="485" spans="1:16" x14ac:dyDescent="0.25">
      <c r="A485">
        <v>2014</v>
      </c>
      <c r="B485" t="s">
        <v>618</v>
      </c>
      <c r="C485" t="s">
        <v>621</v>
      </c>
      <c r="D485" t="s">
        <v>32</v>
      </c>
      <c r="E485">
        <v>3.4</v>
      </c>
      <c r="F485">
        <v>6</v>
      </c>
      <c r="G485" t="s">
        <v>38</v>
      </c>
      <c r="H485" t="s">
        <v>17</v>
      </c>
      <c r="I485">
        <v>12</v>
      </c>
      <c r="J485">
        <v>8.6999999999999993</v>
      </c>
      <c r="K485">
        <v>10.5</v>
      </c>
      <c r="L485">
        <v>27</v>
      </c>
      <c r="M485">
        <v>242</v>
      </c>
      <c r="O485">
        <f t="shared" si="14"/>
        <v>822.8</v>
      </c>
      <c r="P485">
        <f t="shared" si="15"/>
        <v>11.559999999999999</v>
      </c>
    </row>
    <row r="486" spans="1:16" x14ac:dyDescent="0.25">
      <c r="A486">
        <v>2014</v>
      </c>
      <c r="B486" t="s">
        <v>13</v>
      </c>
      <c r="C486" t="s">
        <v>24</v>
      </c>
      <c r="D486" t="s">
        <v>22</v>
      </c>
      <c r="E486">
        <v>3.5</v>
      </c>
      <c r="F486">
        <v>6</v>
      </c>
      <c r="G486" t="s">
        <v>23</v>
      </c>
      <c r="H486" t="s">
        <v>17</v>
      </c>
      <c r="I486">
        <v>12.1</v>
      </c>
      <c r="J486">
        <v>8.6999999999999993</v>
      </c>
      <c r="K486">
        <v>10.6</v>
      </c>
      <c r="L486">
        <v>27</v>
      </c>
      <c r="M486">
        <v>244</v>
      </c>
      <c r="O486">
        <f t="shared" si="14"/>
        <v>854</v>
      </c>
      <c r="P486">
        <f t="shared" si="15"/>
        <v>12.25</v>
      </c>
    </row>
    <row r="487" spans="1:16" x14ac:dyDescent="0.25">
      <c r="A487">
        <v>2014</v>
      </c>
      <c r="B487" t="s">
        <v>175</v>
      </c>
      <c r="C487" t="s">
        <v>197</v>
      </c>
      <c r="D487" t="s">
        <v>56</v>
      </c>
      <c r="E487">
        <v>3.6</v>
      </c>
      <c r="F487">
        <v>6</v>
      </c>
      <c r="G487" t="s">
        <v>23</v>
      </c>
      <c r="H487" t="s">
        <v>143</v>
      </c>
      <c r="I487">
        <v>12.6</v>
      </c>
      <c r="J487">
        <v>8.1999999999999993</v>
      </c>
      <c r="K487">
        <v>10.6</v>
      </c>
      <c r="L487">
        <v>27</v>
      </c>
      <c r="M487">
        <v>244</v>
      </c>
      <c r="O487">
        <f t="shared" si="14"/>
        <v>878.4</v>
      </c>
      <c r="P487">
        <f t="shared" si="15"/>
        <v>12.96</v>
      </c>
    </row>
    <row r="488" spans="1:16" x14ac:dyDescent="0.25">
      <c r="A488">
        <v>2014</v>
      </c>
      <c r="B488" t="s">
        <v>175</v>
      </c>
      <c r="C488" t="s">
        <v>200</v>
      </c>
      <c r="D488" t="s">
        <v>22</v>
      </c>
      <c r="E488">
        <v>2.4</v>
      </c>
      <c r="F488">
        <v>4</v>
      </c>
      <c r="G488" t="s">
        <v>23</v>
      </c>
      <c r="H488" t="s">
        <v>143</v>
      </c>
      <c r="I488">
        <v>12.2</v>
      </c>
      <c r="J488">
        <v>8.6</v>
      </c>
      <c r="K488">
        <v>10.6</v>
      </c>
      <c r="L488">
        <v>27</v>
      </c>
      <c r="M488">
        <v>244</v>
      </c>
      <c r="O488">
        <f t="shared" si="14"/>
        <v>585.6</v>
      </c>
      <c r="P488">
        <f t="shared" si="15"/>
        <v>5.76</v>
      </c>
    </row>
    <row r="489" spans="1:16" x14ac:dyDescent="0.25">
      <c r="A489">
        <v>2014</v>
      </c>
      <c r="B489" t="s">
        <v>265</v>
      </c>
      <c r="C489" t="s">
        <v>292</v>
      </c>
      <c r="D489" t="s">
        <v>15</v>
      </c>
      <c r="E489">
        <v>2</v>
      </c>
      <c r="F489">
        <v>4</v>
      </c>
      <c r="G489" t="s">
        <v>126</v>
      </c>
      <c r="H489" t="s">
        <v>148</v>
      </c>
      <c r="I489">
        <v>11.9</v>
      </c>
      <c r="J489">
        <v>8.9</v>
      </c>
      <c r="K489">
        <v>10.6</v>
      </c>
      <c r="L489">
        <v>27</v>
      </c>
      <c r="M489">
        <v>170</v>
      </c>
      <c r="O489">
        <f t="shared" si="14"/>
        <v>340</v>
      </c>
      <c r="P489">
        <f t="shared" si="15"/>
        <v>4</v>
      </c>
    </row>
    <row r="490" spans="1:16" x14ac:dyDescent="0.25">
      <c r="A490">
        <v>2014</v>
      </c>
      <c r="B490" t="s">
        <v>265</v>
      </c>
      <c r="C490" t="s">
        <v>298</v>
      </c>
      <c r="D490" t="s">
        <v>35</v>
      </c>
      <c r="E490">
        <v>3.7</v>
      </c>
      <c r="F490">
        <v>6</v>
      </c>
      <c r="G490" t="s">
        <v>18</v>
      </c>
      <c r="H490" t="s">
        <v>143</v>
      </c>
      <c r="I490">
        <v>12.7</v>
      </c>
      <c r="J490">
        <v>8.1</v>
      </c>
      <c r="K490">
        <v>10.6</v>
      </c>
      <c r="L490">
        <v>27</v>
      </c>
      <c r="M490">
        <v>244</v>
      </c>
      <c r="O490">
        <f t="shared" si="14"/>
        <v>902.80000000000007</v>
      </c>
      <c r="P490">
        <f t="shared" si="15"/>
        <v>13.690000000000001</v>
      </c>
    </row>
    <row r="491" spans="1:16" x14ac:dyDescent="0.25">
      <c r="A491">
        <v>2014</v>
      </c>
      <c r="B491" t="s">
        <v>265</v>
      </c>
      <c r="C491" t="s">
        <v>299</v>
      </c>
      <c r="D491" t="s">
        <v>35</v>
      </c>
      <c r="E491">
        <v>3.7</v>
      </c>
      <c r="F491">
        <v>6</v>
      </c>
      <c r="G491" t="s">
        <v>33</v>
      </c>
      <c r="H491" t="s">
        <v>143</v>
      </c>
      <c r="I491">
        <v>12.5</v>
      </c>
      <c r="J491">
        <v>8.1999999999999993</v>
      </c>
      <c r="K491">
        <v>10.6</v>
      </c>
      <c r="L491">
        <v>27</v>
      </c>
      <c r="M491">
        <v>244</v>
      </c>
      <c r="O491">
        <f t="shared" si="14"/>
        <v>902.80000000000007</v>
      </c>
      <c r="P491">
        <f t="shared" si="15"/>
        <v>13.690000000000001</v>
      </c>
    </row>
    <row r="492" spans="1:16" x14ac:dyDescent="0.25">
      <c r="A492">
        <v>2014</v>
      </c>
      <c r="B492" t="s">
        <v>329</v>
      </c>
      <c r="C492" t="s">
        <v>338</v>
      </c>
      <c r="D492" t="s">
        <v>231</v>
      </c>
      <c r="E492">
        <v>3.5</v>
      </c>
      <c r="F492">
        <v>6</v>
      </c>
      <c r="G492" t="s">
        <v>33</v>
      </c>
      <c r="H492" t="s">
        <v>143</v>
      </c>
      <c r="I492">
        <v>12.3</v>
      </c>
      <c r="J492">
        <v>8.5</v>
      </c>
      <c r="K492">
        <v>10.6</v>
      </c>
      <c r="L492">
        <v>27</v>
      </c>
      <c r="M492">
        <v>244</v>
      </c>
      <c r="O492">
        <f t="shared" si="14"/>
        <v>854</v>
      </c>
      <c r="P492">
        <f t="shared" si="15"/>
        <v>12.25</v>
      </c>
    </row>
    <row r="493" spans="1:16" x14ac:dyDescent="0.25">
      <c r="A493">
        <v>2014</v>
      </c>
      <c r="B493" t="s">
        <v>342</v>
      </c>
      <c r="C493" t="s">
        <v>355</v>
      </c>
      <c r="D493" t="s">
        <v>22</v>
      </c>
      <c r="E493">
        <v>2.4</v>
      </c>
      <c r="F493">
        <v>4</v>
      </c>
      <c r="G493" t="s">
        <v>33</v>
      </c>
      <c r="H493" t="s">
        <v>143</v>
      </c>
      <c r="I493">
        <v>11.6</v>
      </c>
      <c r="J493">
        <v>9.3000000000000007</v>
      </c>
      <c r="K493">
        <v>10.6</v>
      </c>
      <c r="L493">
        <v>27</v>
      </c>
      <c r="M493">
        <v>244</v>
      </c>
      <c r="O493">
        <f t="shared" si="14"/>
        <v>585.6</v>
      </c>
      <c r="P493">
        <f t="shared" si="15"/>
        <v>5.76</v>
      </c>
    </row>
    <row r="494" spans="1:16" x14ac:dyDescent="0.25">
      <c r="A494">
        <v>2014</v>
      </c>
      <c r="B494" t="s">
        <v>358</v>
      </c>
      <c r="C494" t="s">
        <v>371</v>
      </c>
      <c r="D494" t="s">
        <v>22</v>
      </c>
      <c r="E494">
        <v>3.5</v>
      </c>
      <c r="F494">
        <v>6</v>
      </c>
      <c r="G494" t="s">
        <v>209</v>
      </c>
      <c r="H494" t="s">
        <v>17</v>
      </c>
      <c r="I494">
        <v>11.9</v>
      </c>
      <c r="J494">
        <v>9</v>
      </c>
      <c r="K494">
        <v>10.6</v>
      </c>
      <c r="L494">
        <v>27</v>
      </c>
      <c r="M494">
        <v>244</v>
      </c>
      <c r="O494">
        <f t="shared" si="14"/>
        <v>854</v>
      </c>
      <c r="P494">
        <f t="shared" si="15"/>
        <v>12.25</v>
      </c>
    </row>
    <row r="495" spans="1:16" x14ac:dyDescent="0.25">
      <c r="A495">
        <v>2014</v>
      </c>
      <c r="B495" t="s">
        <v>376</v>
      </c>
      <c r="C495" t="s">
        <v>378</v>
      </c>
      <c r="D495" t="s">
        <v>37</v>
      </c>
      <c r="E495">
        <v>3</v>
      </c>
      <c r="F495">
        <v>6</v>
      </c>
      <c r="G495" t="s">
        <v>45</v>
      </c>
      <c r="H495" t="s">
        <v>17</v>
      </c>
      <c r="I495">
        <v>12.2</v>
      </c>
      <c r="J495">
        <v>8.6999999999999993</v>
      </c>
      <c r="K495">
        <v>10.6</v>
      </c>
      <c r="L495">
        <v>27</v>
      </c>
      <c r="M495">
        <v>244</v>
      </c>
      <c r="O495">
        <f t="shared" si="14"/>
        <v>732</v>
      </c>
      <c r="P495">
        <f t="shared" si="15"/>
        <v>9</v>
      </c>
    </row>
    <row r="496" spans="1:16" x14ac:dyDescent="0.25">
      <c r="A496">
        <v>2014</v>
      </c>
      <c r="B496" t="s">
        <v>450</v>
      </c>
      <c r="C496" t="s">
        <v>462</v>
      </c>
      <c r="D496" t="s">
        <v>15</v>
      </c>
      <c r="E496">
        <v>3.5</v>
      </c>
      <c r="F496">
        <v>6</v>
      </c>
      <c r="G496" t="s">
        <v>45</v>
      </c>
      <c r="H496" t="s">
        <v>17</v>
      </c>
      <c r="I496">
        <v>12.2</v>
      </c>
      <c r="J496">
        <v>8.6999999999999993</v>
      </c>
      <c r="K496">
        <v>10.6</v>
      </c>
      <c r="L496">
        <v>27</v>
      </c>
      <c r="M496">
        <v>244</v>
      </c>
      <c r="O496">
        <f t="shared" si="14"/>
        <v>854</v>
      </c>
      <c r="P496">
        <f t="shared" si="15"/>
        <v>12.25</v>
      </c>
    </row>
    <row r="497" spans="1:16" x14ac:dyDescent="0.25">
      <c r="A497">
        <v>2014</v>
      </c>
      <c r="B497" t="s">
        <v>450</v>
      </c>
      <c r="C497" t="s">
        <v>464</v>
      </c>
      <c r="D497" t="s">
        <v>35</v>
      </c>
      <c r="E497">
        <v>3.5</v>
      </c>
      <c r="F497">
        <v>6</v>
      </c>
      <c r="G497" t="s">
        <v>23</v>
      </c>
      <c r="H497" t="s">
        <v>17</v>
      </c>
      <c r="I497">
        <v>12.1</v>
      </c>
      <c r="J497">
        <v>8.6999999999999993</v>
      </c>
      <c r="K497">
        <v>10.6</v>
      </c>
      <c r="L497">
        <v>27</v>
      </c>
      <c r="M497">
        <v>244</v>
      </c>
      <c r="O497">
        <f t="shared" si="14"/>
        <v>854</v>
      </c>
      <c r="P497">
        <f t="shared" si="15"/>
        <v>12.25</v>
      </c>
    </row>
    <row r="498" spans="1:16" x14ac:dyDescent="0.25">
      <c r="A498">
        <v>2014</v>
      </c>
      <c r="B498" t="s">
        <v>506</v>
      </c>
      <c r="C498" t="s">
        <v>513</v>
      </c>
      <c r="D498" t="s">
        <v>35</v>
      </c>
      <c r="E498">
        <v>3.5</v>
      </c>
      <c r="F498">
        <v>6</v>
      </c>
      <c r="G498" t="s">
        <v>360</v>
      </c>
      <c r="H498" t="s">
        <v>17</v>
      </c>
      <c r="I498">
        <v>12.1</v>
      </c>
      <c r="J498">
        <v>8.6999999999999993</v>
      </c>
      <c r="K498">
        <v>10.6</v>
      </c>
      <c r="L498">
        <v>27</v>
      </c>
      <c r="M498">
        <v>244</v>
      </c>
      <c r="O498">
        <f t="shared" si="14"/>
        <v>854</v>
      </c>
      <c r="P498">
        <f t="shared" si="15"/>
        <v>12.25</v>
      </c>
    </row>
    <row r="499" spans="1:16" x14ac:dyDescent="0.25">
      <c r="A499">
        <v>2014</v>
      </c>
      <c r="B499" t="s">
        <v>593</v>
      </c>
      <c r="C499" t="s">
        <v>607</v>
      </c>
      <c r="D499" t="s">
        <v>22</v>
      </c>
      <c r="E499">
        <v>3.5</v>
      </c>
      <c r="F499">
        <v>6</v>
      </c>
      <c r="G499" t="s">
        <v>209</v>
      </c>
      <c r="H499" t="s">
        <v>143</v>
      </c>
      <c r="I499">
        <v>12</v>
      </c>
      <c r="J499">
        <v>8.9</v>
      </c>
      <c r="K499">
        <v>10.6</v>
      </c>
      <c r="L499">
        <v>27</v>
      </c>
      <c r="M499">
        <v>244</v>
      </c>
      <c r="O499">
        <f t="shared" si="14"/>
        <v>854</v>
      </c>
      <c r="P499">
        <f t="shared" si="15"/>
        <v>12.25</v>
      </c>
    </row>
    <row r="500" spans="1:16" x14ac:dyDescent="0.25">
      <c r="A500">
        <v>2014</v>
      </c>
      <c r="B500" t="s">
        <v>618</v>
      </c>
      <c r="C500" t="s">
        <v>625</v>
      </c>
      <c r="D500" t="s">
        <v>32</v>
      </c>
      <c r="E500">
        <v>3.8</v>
      </c>
      <c r="F500">
        <v>6</v>
      </c>
      <c r="G500" t="s">
        <v>38</v>
      </c>
      <c r="H500" t="s">
        <v>17</v>
      </c>
      <c r="I500">
        <v>12.1</v>
      </c>
      <c r="J500">
        <v>8.6999999999999993</v>
      </c>
      <c r="K500">
        <v>10.6</v>
      </c>
      <c r="L500">
        <v>27</v>
      </c>
      <c r="M500">
        <v>244</v>
      </c>
      <c r="O500">
        <f t="shared" si="14"/>
        <v>927.19999999999993</v>
      </c>
      <c r="P500">
        <f t="shared" si="15"/>
        <v>14.44</v>
      </c>
    </row>
    <row r="501" spans="1:16" x14ac:dyDescent="0.25">
      <c r="A501">
        <v>2014</v>
      </c>
      <c r="B501" t="s">
        <v>650</v>
      </c>
      <c r="C501" t="s">
        <v>653</v>
      </c>
      <c r="D501" t="s">
        <v>202</v>
      </c>
      <c r="E501">
        <v>3</v>
      </c>
      <c r="F501">
        <v>6</v>
      </c>
      <c r="G501" t="s">
        <v>53</v>
      </c>
      <c r="H501" t="s">
        <v>50</v>
      </c>
      <c r="I501">
        <v>12.1</v>
      </c>
      <c r="J501">
        <v>8.8000000000000007</v>
      </c>
      <c r="K501">
        <v>10.6</v>
      </c>
      <c r="L501">
        <v>27</v>
      </c>
      <c r="M501">
        <v>286</v>
      </c>
      <c r="O501">
        <f t="shared" si="14"/>
        <v>858</v>
      </c>
      <c r="P501">
        <f t="shared" si="15"/>
        <v>9</v>
      </c>
    </row>
    <row r="502" spans="1:16" x14ac:dyDescent="0.25">
      <c r="A502">
        <v>2014</v>
      </c>
      <c r="B502" t="s">
        <v>90</v>
      </c>
      <c r="C502" t="s">
        <v>110</v>
      </c>
      <c r="D502" t="s">
        <v>56</v>
      </c>
      <c r="E502">
        <v>3</v>
      </c>
      <c r="F502">
        <v>6</v>
      </c>
      <c r="G502" t="s">
        <v>53</v>
      </c>
      <c r="H502" t="s">
        <v>17</v>
      </c>
      <c r="I502">
        <v>12.5</v>
      </c>
      <c r="J502">
        <v>8.6</v>
      </c>
      <c r="K502">
        <v>10.7</v>
      </c>
      <c r="L502">
        <v>26</v>
      </c>
      <c r="M502">
        <v>246</v>
      </c>
      <c r="O502">
        <f t="shared" si="14"/>
        <v>738</v>
      </c>
      <c r="P502">
        <f t="shared" si="15"/>
        <v>9</v>
      </c>
    </row>
    <row r="503" spans="1:16" x14ac:dyDescent="0.25">
      <c r="A503">
        <v>2014</v>
      </c>
      <c r="B503" t="s">
        <v>90</v>
      </c>
      <c r="C503" t="s">
        <v>117</v>
      </c>
      <c r="D503" t="s">
        <v>56</v>
      </c>
      <c r="E503">
        <v>3</v>
      </c>
      <c r="F503">
        <v>6</v>
      </c>
      <c r="G503" t="s">
        <v>53</v>
      </c>
      <c r="H503" t="s">
        <v>17</v>
      </c>
      <c r="I503">
        <v>12.5</v>
      </c>
      <c r="J503">
        <v>8.6</v>
      </c>
      <c r="K503">
        <v>10.7</v>
      </c>
      <c r="L503">
        <v>26</v>
      </c>
      <c r="M503">
        <v>246</v>
      </c>
      <c r="O503">
        <f t="shared" si="14"/>
        <v>738</v>
      </c>
      <c r="P503">
        <f t="shared" si="15"/>
        <v>9</v>
      </c>
    </row>
    <row r="504" spans="1:16" x14ac:dyDescent="0.25">
      <c r="A504">
        <v>2014</v>
      </c>
      <c r="B504" t="s">
        <v>141</v>
      </c>
      <c r="C504" t="s">
        <v>152</v>
      </c>
      <c r="D504" t="s">
        <v>26</v>
      </c>
      <c r="E504">
        <v>2</v>
      </c>
      <c r="F504">
        <v>4</v>
      </c>
      <c r="G504" t="s">
        <v>23</v>
      </c>
      <c r="H504" t="s">
        <v>17</v>
      </c>
      <c r="I504">
        <v>12.3</v>
      </c>
      <c r="J504">
        <v>8.6999999999999993</v>
      </c>
      <c r="K504">
        <v>10.7</v>
      </c>
      <c r="L504">
        <v>26</v>
      </c>
      <c r="M504">
        <v>246</v>
      </c>
      <c r="O504">
        <f t="shared" si="14"/>
        <v>492</v>
      </c>
      <c r="P504">
        <f t="shared" si="15"/>
        <v>4</v>
      </c>
    </row>
    <row r="505" spans="1:16" x14ac:dyDescent="0.25">
      <c r="A505">
        <v>2014</v>
      </c>
      <c r="B505" t="s">
        <v>218</v>
      </c>
      <c r="C505" t="s">
        <v>219</v>
      </c>
      <c r="D505" t="s">
        <v>15</v>
      </c>
      <c r="E505">
        <v>2.4</v>
      </c>
      <c r="F505">
        <v>4</v>
      </c>
      <c r="G505" t="s">
        <v>33</v>
      </c>
      <c r="H505" t="s">
        <v>143</v>
      </c>
      <c r="I505">
        <v>12.9</v>
      </c>
      <c r="J505">
        <v>8.1</v>
      </c>
      <c r="K505">
        <v>10.7</v>
      </c>
      <c r="L505">
        <v>26</v>
      </c>
      <c r="M505">
        <v>246</v>
      </c>
      <c r="O505">
        <f t="shared" si="14"/>
        <v>590.4</v>
      </c>
      <c r="P505">
        <f t="shared" si="15"/>
        <v>5.76</v>
      </c>
    </row>
    <row r="506" spans="1:16" x14ac:dyDescent="0.25">
      <c r="A506">
        <v>2014</v>
      </c>
      <c r="B506" t="s">
        <v>329</v>
      </c>
      <c r="C506" t="s">
        <v>333</v>
      </c>
      <c r="D506" t="s">
        <v>22</v>
      </c>
      <c r="E506">
        <v>3.5</v>
      </c>
      <c r="F506">
        <v>6</v>
      </c>
      <c r="G506" t="s">
        <v>33</v>
      </c>
      <c r="H506" t="s">
        <v>143</v>
      </c>
      <c r="I506">
        <v>12.5</v>
      </c>
      <c r="J506">
        <v>8.5</v>
      </c>
      <c r="K506">
        <v>10.7</v>
      </c>
      <c r="L506">
        <v>26</v>
      </c>
      <c r="M506">
        <v>246</v>
      </c>
      <c r="O506">
        <f t="shared" si="14"/>
        <v>861</v>
      </c>
      <c r="P506">
        <f t="shared" si="15"/>
        <v>12.25</v>
      </c>
    </row>
    <row r="507" spans="1:16" x14ac:dyDescent="0.25">
      <c r="A507">
        <v>2014</v>
      </c>
      <c r="B507" t="s">
        <v>414</v>
      </c>
      <c r="C507" t="s">
        <v>430</v>
      </c>
      <c r="D507" t="s">
        <v>22</v>
      </c>
      <c r="E507">
        <v>2.4</v>
      </c>
      <c r="F507">
        <v>4</v>
      </c>
      <c r="G507" t="s">
        <v>33</v>
      </c>
      <c r="H507" t="s">
        <v>143</v>
      </c>
      <c r="I507">
        <v>12</v>
      </c>
      <c r="J507">
        <v>9.1</v>
      </c>
      <c r="K507">
        <v>10.7</v>
      </c>
      <c r="L507">
        <v>26</v>
      </c>
      <c r="M507">
        <v>246</v>
      </c>
      <c r="O507">
        <f t="shared" si="14"/>
        <v>590.4</v>
      </c>
      <c r="P507">
        <f t="shared" si="15"/>
        <v>5.76</v>
      </c>
    </row>
    <row r="508" spans="1:16" x14ac:dyDescent="0.25">
      <c r="A508">
        <v>2014</v>
      </c>
      <c r="B508" t="s">
        <v>506</v>
      </c>
      <c r="C508" t="s">
        <v>559</v>
      </c>
      <c r="D508" t="s">
        <v>37</v>
      </c>
      <c r="E508">
        <v>5.5</v>
      </c>
      <c r="F508">
        <v>8</v>
      </c>
      <c r="G508" t="s">
        <v>360</v>
      </c>
      <c r="H508" t="s">
        <v>17</v>
      </c>
      <c r="I508">
        <v>12.3</v>
      </c>
      <c r="J508">
        <v>8.6999999999999993</v>
      </c>
      <c r="K508">
        <v>10.7</v>
      </c>
      <c r="L508">
        <v>26</v>
      </c>
      <c r="M508">
        <v>246</v>
      </c>
      <c r="O508">
        <f t="shared" si="14"/>
        <v>1353</v>
      </c>
      <c r="P508">
        <f t="shared" si="15"/>
        <v>30.25</v>
      </c>
    </row>
    <row r="509" spans="1:16" x14ac:dyDescent="0.25">
      <c r="A509">
        <v>2014</v>
      </c>
      <c r="B509" t="s">
        <v>618</v>
      </c>
      <c r="C509" t="s">
        <v>619</v>
      </c>
      <c r="D509" t="s">
        <v>32</v>
      </c>
      <c r="E509">
        <v>3.4</v>
      </c>
      <c r="F509">
        <v>6</v>
      </c>
      <c r="G509" t="s">
        <v>181</v>
      </c>
      <c r="H509" t="s">
        <v>17</v>
      </c>
      <c r="I509">
        <v>12.5</v>
      </c>
      <c r="J509">
        <v>8.6</v>
      </c>
      <c r="K509">
        <v>10.7</v>
      </c>
      <c r="L509">
        <v>26</v>
      </c>
      <c r="M509">
        <v>246</v>
      </c>
      <c r="O509">
        <f t="shared" si="14"/>
        <v>836.4</v>
      </c>
      <c r="P509">
        <f t="shared" si="15"/>
        <v>11.559999999999999</v>
      </c>
    </row>
    <row r="510" spans="1:16" x14ac:dyDescent="0.25">
      <c r="A510">
        <v>2014</v>
      </c>
      <c r="B510" t="s">
        <v>618</v>
      </c>
      <c r="C510" t="s">
        <v>620</v>
      </c>
      <c r="D510" t="s">
        <v>32</v>
      </c>
      <c r="E510">
        <v>3.4</v>
      </c>
      <c r="F510">
        <v>6</v>
      </c>
      <c r="G510" t="s">
        <v>181</v>
      </c>
      <c r="H510" t="s">
        <v>17</v>
      </c>
      <c r="I510">
        <v>12.4</v>
      </c>
      <c r="J510">
        <v>8.6</v>
      </c>
      <c r="K510">
        <v>10.7</v>
      </c>
      <c r="L510">
        <v>26</v>
      </c>
      <c r="M510">
        <v>246</v>
      </c>
      <c r="O510">
        <f t="shared" si="14"/>
        <v>836.4</v>
      </c>
      <c r="P510">
        <f t="shared" si="15"/>
        <v>11.559999999999999</v>
      </c>
    </row>
    <row r="511" spans="1:16" x14ac:dyDescent="0.25">
      <c r="A511">
        <v>2014</v>
      </c>
      <c r="B511" t="s">
        <v>618</v>
      </c>
      <c r="C511" t="s">
        <v>624</v>
      </c>
      <c r="D511" t="s">
        <v>32</v>
      </c>
      <c r="E511">
        <v>3.4</v>
      </c>
      <c r="F511">
        <v>6</v>
      </c>
      <c r="G511" t="s">
        <v>181</v>
      </c>
      <c r="H511" t="s">
        <v>17</v>
      </c>
      <c r="I511">
        <v>12.4</v>
      </c>
      <c r="J511">
        <v>8.6</v>
      </c>
      <c r="K511">
        <v>10.7</v>
      </c>
      <c r="L511">
        <v>26</v>
      </c>
      <c r="M511">
        <v>246</v>
      </c>
      <c r="O511">
        <f t="shared" si="14"/>
        <v>836.4</v>
      </c>
      <c r="P511">
        <f t="shared" si="15"/>
        <v>11.559999999999999</v>
      </c>
    </row>
    <row r="512" spans="1:16" x14ac:dyDescent="0.25">
      <c r="A512">
        <v>2014</v>
      </c>
      <c r="B512" t="s">
        <v>618</v>
      </c>
      <c r="C512" t="s">
        <v>626</v>
      </c>
      <c r="D512" t="s">
        <v>32</v>
      </c>
      <c r="E512">
        <v>3.8</v>
      </c>
      <c r="F512">
        <v>6</v>
      </c>
      <c r="G512" t="s">
        <v>38</v>
      </c>
      <c r="H512" t="s">
        <v>17</v>
      </c>
      <c r="I512">
        <v>12.4</v>
      </c>
      <c r="J512">
        <v>8.6999999999999993</v>
      </c>
      <c r="K512">
        <v>10.7</v>
      </c>
      <c r="L512">
        <v>26</v>
      </c>
      <c r="M512">
        <v>246</v>
      </c>
      <c r="O512">
        <f t="shared" si="14"/>
        <v>934.8</v>
      </c>
      <c r="P512">
        <f t="shared" si="15"/>
        <v>14.44</v>
      </c>
    </row>
    <row r="513" spans="1:16" x14ac:dyDescent="0.25">
      <c r="A513">
        <v>2014</v>
      </c>
      <c r="B513" t="s">
        <v>723</v>
      </c>
      <c r="C513" t="s">
        <v>739</v>
      </c>
      <c r="D513" t="s">
        <v>22</v>
      </c>
      <c r="E513">
        <v>2</v>
      </c>
      <c r="F513">
        <v>4</v>
      </c>
      <c r="G513" t="s">
        <v>33</v>
      </c>
      <c r="H513" t="s">
        <v>17</v>
      </c>
      <c r="I513">
        <v>11.7</v>
      </c>
      <c r="J513">
        <v>9.5</v>
      </c>
      <c r="K513">
        <v>10.7</v>
      </c>
      <c r="L513">
        <v>26</v>
      </c>
      <c r="M513">
        <v>246</v>
      </c>
      <c r="O513">
        <f t="shared" si="14"/>
        <v>492</v>
      </c>
      <c r="P513">
        <f t="shared" si="15"/>
        <v>4</v>
      </c>
    </row>
    <row r="514" spans="1:16" x14ac:dyDescent="0.25">
      <c r="A514">
        <v>2014</v>
      </c>
      <c r="B514" t="s">
        <v>723</v>
      </c>
      <c r="C514" t="s">
        <v>740</v>
      </c>
      <c r="D514" t="s">
        <v>22</v>
      </c>
      <c r="E514">
        <v>2</v>
      </c>
      <c r="F514">
        <v>4</v>
      </c>
      <c r="G514" t="s">
        <v>33</v>
      </c>
      <c r="H514" t="s">
        <v>17</v>
      </c>
      <c r="I514">
        <v>11.7</v>
      </c>
      <c r="J514">
        <v>9.4</v>
      </c>
      <c r="K514">
        <v>10.7</v>
      </c>
      <c r="L514">
        <v>26</v>
      </c>
      <c r="M514">
        <v>246</v>
      </c>
      <c r="O514">
        <f t="shared" si="14"/>
        <v>492</v>
      </c>
      <c r="P514">
        <f t="shared" si="15"/>
        <v>4</v>
      </c>
    </row>
    <row r="515" spans="1:16" x14ac:dyDescent="0.25">
      <c r="A515">
        <v>2014</v>
      </c>
      <c r="B515" t="s">
        <v>155</v>
      </c>
      <c r="C515" t="s">
        <v>160</v>
      </c>
      <c r="D515" t="s">
        <v>26</v>
      </c>
      <c r="E515">
        <v>3.6</v>
      </c>
      <c r="F515">
        <v>6</v>
      </c>
      <c r="G515" t="s">
        <v>45</v>
      </c>
      <c r="H515" t="s">
        <v>143</v>
      </c>
      <c r="I515">
        <v>12.9</v>
      </c>
      <c r="J515">
        <v>8.1999999999999993</v>
      </c>
      <c r="K515">
        <v>10.8</v>
      </c>
      <c r="L515">
        <v>26</v>
      </c>
      <c r="M515">
        <v>248</v>
      </c>
      <c r="O515">
        <f t="shared" ref="O515:O578" si="16">M515*E515</f>
        <v>892.80000000000007</v>
      </c>
      <c r="P515">
        <f t="shared" ref="P515:P578" si="17">E515*E515</f>
        <v>12.96</v>
      </c>
    </row>
    <row r="516" spans="1:16" x14ac:dyDescent="0.25">
      <c r="A516">
        <v>2014</v>
      </c>
      <c r="B516" t="s">
        <v>155</v>
      </c>
      <c r="C516" t="s">
        <v>161</v>
      </c>
      <c r="D516" t="s">
        <v>26</v>
      </c>
      <c r="E516">
        <v>2</v>
      </c>
      <c r="F516">
        <v>4</v>
      </c>
      <c r="G516" t="s">
        <v>23</v>
      </c>
      <c r="H516" t="s">
        <v>17</v>
      </c>
      <c r="I516">
        <v>12.6</v>
      </c>
      <c r="J516">
        <v>8.5</v>
      </c>
      <c r="K516">
        <v>10.8</v>
      </c>
      <c r="L516">
        <v>26</v>
      </c>
      <c r="M516">
        <v>248</v>
      </c>
      <c r="O516">
        <f t="shared" si="16"/>
        <v>496</v>
      </c>
      <c r="P516">
        <f t="shared" si="17"/>
        <v>4</v>
      </c>
    </row>
    <row r="517" spans="1:16" x14ac:dyDescent="0.25">
      <c r="A517">
        <v>2014</v>
      </c>
      <c r="B517" t="s">
        <v>265</v>
      </c>
      <c r="C517" t="s">
        <v>271</v>
      </c>
      <c r="D517" t="s">
        <v>22</v>
      </c>
      <c r="E517">
        <v>3.5</v>
      </c>
      <c r="F517">
        <v>6</v>
      </c>
      <c r="G517" t="s">
        <v>23</v>
      </c>
      <c r="H517" t="s">
        <v>143</v>
      </c>
      <c r="I517">
        <v>12.6</v>
      </c>
      <c r="J517">
        <v>8.6999999999999993</v>
      </c>
      <c r="K517">
        <v>10.8</v>
      </c>
      <c r="L517">
        <v>26</v>
      </c>
      <c r="M517">
        <v>248</v>
      </c>
      <c r="O517">
        <f t="shared" si="16"/>
        <v>868</v>
      </c>
      <c r="P517">
        <f t="shared" si="17"/>
        <v>12.25</v>
      </c>
    </row>
    <row r="518" spans="1:16" x14ac:dyDescent="0.25">
      <c r="A518">
        <v>2014</v>
      </c>
      <c r="B518" t="s">
        <v>358</v>
      </c>
      <c r="C518" t="s">
        <v>361</v>
      </c>
      <c r="D518" t="s">
        <v>26</v>
      </c>
      <c r="E518">
        <v>3.7</v>
      </c>
      <c r="F518">
        <v>6</v>
      </c>
      <c r="G518" t="s">
        <v>360</v>
      </c>
      <c r="H518" t="s">
        <v>17</v>
      </c>
      <c r="I518">
        <v>12.6</v>
      </c>
      <c r="J518">
        <v>8.6999999999999993</v>
      </c>
      <c r="K518">
        <v>10.8</v>
      </c>
      <c r="L518">
        <v>26</v>
      </c>
      <c r="M518">
        <v>248</v>
      </c>
      <c r="O518">
        <f t="shared" si="16"/>
        <v>917.6</v>
      </c>
      <c r="P518">
        <f t="shared" si="17"/>
        <v>13.690000000000001</v>
      </c>
    </row>
    <row r="519" spans="1:16" x14ac:dyDescent="0.25">
      <c r="A519">
        <v>2014</v>
      </c>
      <c r="B519" t="s">
        <v>396</v>
      </c>
      <c r="C519" t="s">
        <v>399</v>
      </c>
      <c r="D519" t="s">
        <v>22</v>
      </c>
      <c r="E519">
        <v>3.2</v>
      </c>
      <c r="F519">
        <v>6</v>
      </c>
      <c r="G519" t="s">
        <v>398</v>
      </c>
      <c r="H519" t="s">
        <v>143</v>
      </c>
      <c r="I519">
        <v>12.5</v>
      </c>
      <c r="J519">
        <v>8.8000000000000007</v>
      </c>
      <c r="K519">
        <v>10.8</v>
      </c>
      <c r="L519">
        <v>26</v>
      </c>
      <c r="M519">
        <v>248</v>
      </c>
      <c r="O519">
        <f t="shared" si="16"/>
        <v>793.6</v>
      </c>
      <c r="P519">
        <f t="shared" si="17"/>
        <v>10.240000000000002</v>
      </c>
    </row>
    <row r="520" spans="1:16" x14ac:dyDescent="0.25">
      <c r="A520">
        <v>2014</v>
      </c>
      <c r="B520" t="s">
        <v>618</v>
      </c>
      <c r="C520" t="s">
        <v>622</v>
      </c>
      <c r="D520" t="s">
        <v>32</v>
      </c>
      <c r="E520">
        <v>3.8</v>
      </c>
      <c r="F520">
        <v>6</v>
      </c>
      <c r="G520" t="s">
        <v>38</v>
      </c>
      <c r="H520" t="s">
        <v>17</v>
      </c>
      <c r="I520">
        <v>12.3</v>
      </c>
      <c r="J520">
        <v>8.9</v>
      </c>
      <c r="K520">
        <v>10.8</v>
      </c>
      <c r="L520">
        <v>26</v>
      </c>
      <c r="M520">
        <v>248</v>
      </c>
      <c r="O520">
        <f t="shared" si="16"/>
        <v>942.4</v>
      </c>
      <c r="P520">
        <f t="shared" si="17"/>
        <v>14.44</v>
      </c>
    </row>
    <row r="521" spans="1:16" x14ac:dyDescent="0.25">
      <c r="A521">
        <v>2014</v>
      </c>
      <c r="B521" t="s">
        <v>618</v>
      </c>
      <c r="C521" t="s">
        <v>625</v>
      </c>
      <c r="D521" t="s">
        <v>32</v>
      </c>
      <c r="E521">
        <v>3.8</v>
      </c>
      <c r="F521">
        <v>6</v>
      </c>
      <c r="G521" t="s">
        <v>181</v>
      </c>
      <c r="H521" t="s">
        <v>17</v>
      </c>
      <c r="I521">
        <v>12.6</v>
      </c>
      <c r="J521">
        <v>8.6</v>
      </c>
      <c r="K521">
        <v>10.8</v>
      </c>
      <c r="L521">
        <v>26</v>
      </c>
      <c r="M521">
        <v>248</v>
      </c>
      <c r="O521">
        <f t="shared" si="16"/>
        <v>942.4</v>
      </c>
      <c r="P521">
        <f t="shared" si="17"/>
        <v>14.44</v>
      </c>
    </row>
    <row r="522" spans="1:16" x14ac:dyDescent="0.25">
      <c r="A522">
        <v>2014</v>
      </c>
      <c r="B522" t="s">
        <v>723</v>
      </c>
      <c r="C522" t="s">
        <v>736</v>
      </c>
      <c r="D522" t="s">
        <v>26</v>
      </c>
      <c r="E522">
        <v>3.6</v>
      </c>
      <c r="F522">
        <v>6</v>
      </c>
      <c r="G522" t="s">
        <v>33</v>
      </c>
      <c r="H522" t="s">
        <v>17</v>
      </c>
      <c r="I522">
        <v>12.4</v>
      </c>
      <c r="J522">
        <v>8.8000000000000007</v>
      </c>
      <c r="K522">
        <v>10.8</v>
      </c>
      <c r="L522">
        <v>26</v>
      </c>
      <c r="M522">
        <v>248</v>
      </c>
      <c r="O522">
        <f t="shared" si="16"/>
        <v>892.80000000000007</v>
      </c>
      <c r="P522">
        <f t="shared" si="17"/>
        <v>12.96</v>
      </c>
    </row>
    <row r="523" spans="1:16" x14ac:dyDescent="0.25">
      <c r="A523">
        <v>2014</v>
      </c>
      <c r="B523" t="s">
        <v>41</v>
      </c>
      <c r="C523" t="s">
        <v>48</v>
      </c>
      <c r="D523" t="s">
        <v>26</v>
      </c>
      <c r="E523">
        <v>3</v>
      </c>
      <c r="F523">
        <v>6</v>
      </c>
      <c r="G523" t="s">
        <v>45</v>
      </c>
      <c r="H523" t="s">
        <v>17</v>
      </c>
      <c r="I523">
        <v>12.8</v>
      </c>
      <c r="J523">
        <v>8.6</v>
      </c>
      <c r="K523">
        <v>10.9</v>
      </c>
      <c r="L523">
        <v>26</v>
      </c>
      <c r="M523">
        <v>251</v>
      </c>
      <c r="O523">
        <f t="shared" si="16"/>
        <v>753</v>
      </c>
      <c r="P523">
        <f t="shared" si="17"/>
        <v>9</v>
      </c>
    </row>
    <row r="524" spans="1:16" x14ac:dyDescent="0.25">
      <c r="A524">
        <v>2014</v>
      </c>
      <c r="B524" t="s">
        <v>41</v>
      </c>
      <c r="C524" t="s">
        <v>65</v>
      </c>
      <c r="D524" t="s">
        <v>64</v>
      </c>
      <c r="E524">
        <v>3</v>
      </c>
      <c r="F524">
        <v>6</v>
      </c>
      <c r="G524" t="s">
        <v>45</v>
      </c>
      <c r="H524" t="s">
        <v>50</v>
      </c>
      <c r="I524">
        <v>12.9</v>
      </c>
      <c r="J524">
        <v>8.4</v>
      </c>
      <c r="K524">
        <v>10.9</v>
      </c>
      <c r="L524">
        <v>26</v>
      </c>
      <c r="M524">
        <v>294</v>
      </c>
      <c r="O524">
        <f t="shared" si="16"/>
        <v>882</v>
      </c>
      <c r="P524">
        <f t="shared" si="17"/>
        <v>9</v>
      </c>
    </row>
    <row r="525" spans="1:16" x14ac:dyDescent="0.25">
      <c r="A525">
        <v>2014</v>
      </c>
      <c r="B525" t="s">
        <v>155</v>
      </c>
      <c r="C525" t="s">
        <v>156</v>
      </c>
      <c r="D525" t="s">
        <v>15</v>
      </c>
      <c r="E525">
        <v>3.6</v>
      </c>
      <c r="F525">
        <v>6</v>
      </c>
      <c r="G525" t="s">
        <v>23</v>
      </c>
      <c r="H525" t="s">
        <v>143</v>
      </c>
      <c r="I525">
        <v>12.8</v>
      </c>
      <c r="J525">
        <v>8.5</v>
      </c>
      <c r="K525">
        <v>10.9</v>
      </c>
      <c r="L525">
        <v>26</v>
      </c>
      <c r="M525">
        <v>251</v>
      </c>
      <c r="O525">
        <f t="shared" si="16"/>
        <v>903.6</v>
      </c>
      <c r="P525">
        <f t="shared" si="17"/>
        <v>12.96</v>
      </c>
    </row>
    <row r="526" spans="1:16" x14ac:dyDescent="0.25">
      <c r="A526">
        <v>2014</v>
      </c>
      <c r="B526" t="s">
        <v>218</v>
      </c>
      <c r="C526" t="s">
        <v>225</v>
      </c>
      <c r="D526" t="s">
        <v>56</v>
      </c>
      <c r="E526">
        <v>3.6</v>
      </c>
      <c r="F526">
        <v>6</v>
      </c>
      <c r="G526" t="s">
        <v>53</v>
      </c>
      <c r="H526" t="s">
        <v>143</v>
      </c>
      <c r="I526">
        <v>12.8</v>
      </c>
      <c r="J526">
        <v>8.6</v>
      </c>
      <c r="K526">
        <v>10.9</v>
      </c>
      <c r="L526">
        <v>26</v>
      </c>
      <c r="M526">
        <v>251</v>
      </c>
      <c r="O526">
        <f t="shared" si="16"/>
        <v>903.6</v>
      </c>
      <c r="P526">
        <f t="shared" si="17"/>
        <v>12.96</v>
      </c>
    </row>
    <row r="527" spans="1:16" x14ac:dyDescent="0.25">
      <c r="A527">
        <v>2014</v>
      </c>
      <c r="B527" t="s">
        <v>218</v>
      </c>
      <c r="C527" t="s">
        <v>227</v>
      </c>
      <c r="D527" t="s">
        <v>56</v>
      </c>
      <c r="E527">
        <v>3.6</v>
      </c>
      <c r="F527">
        <v>6</v>
      </c>
      <c r="G527" t="s">
        <v>53</v>
      </c>
      <c r="H527" t="s">
        <v>143</v>
      </c>
      <c r="I527">
        <v>12.8</v>
      </c>
      <c r="J527">
        <v>8.6</v>
      </c>
      <c r="K527">
        <v>10.9</v>
      </c>
      <c r="L527">
        <v>26</v>
      </c>
      <c r="M527">
        <v>251</v>
      </c>
      <c r="O527">
        <f t="shared" si="16"/>
        <v>903.6</v>
      </c>
      <c r="P527">
        <f t="shared" si="17"/>
        <v>12.96</v>
      </c>
    </row>
    <row r="528" spans="1:16" x14ac:dyDescent="0.25">
      <c r="A528">
        <v>2014</v>
      </c>
      <c r="B528" t="s">
        <v>232</v>
      </c>
      <c r="C528" t="s">
        <v>241</v>
      </c>
      <c r="D528" t="s">
        <v>56</v>
      </c>
      <c r="E528">
        <v>3.6</v>
      </c>
      <c r="F528">
        <v>6</v>
      </c>
      <c r="G528" t="s">
        <v>53</v>
      </c>
      <c r="H528" t="s">
        <v>143</v>
      </c>
      <c r="I528">
        <v>12.8</v>
      </c>
      <c r="J528">
        <v>8.6</v>
      </c>
      <c r="K528">
        <v>10.9</v>
      </c>
      <c r="L528">
        <v>26</v>
      </c>
      <c r="M528">
        <v>251</v>
      </c>
      <c r="O528">
        <f t="shared" si="16"/>
        <v>903.6</v>
      </c>
      <c r="P528">
        <f t="shared" si="17"/>
        <v>12.96</v>
      </c>
    </row>
    <row r="529" spans="1:16" x14ac:dyDescent="0.25">
      <c r="A529">
        <v>2014</v>
      </c>
      <c r="B529" t="s">
        <v>232</v>
      </c>
      <c r="C529" t="s">
        <v>243</v>
      </c>
      <c r="D529" t="s">
        <v>56</v>
      </c>
      <c r="E529">
        <v>3.6</v>
      </c>
      <c r="F529">
        <v>6</v>
      </c>
      <c r="G529" t="s">
        <v>53</v>
      </c>
      <c r="H529" t="s">
        <v>143</v>
      </c>
      <c r="I529">
        <v>12.8</v>
      </c>
      <c r="J529">
        <v>8.6</v>
      </c>
      <c r="K529">
        <v>10.9</v>
      </c>
      <c r="L529">
        <v>26</v>
      </c>
      <c r="M529">
        <v>251</v>
      </c>
      <c r="O529">
        <f t="shared" si="16"/>
        <v>903.6</v>
      </c>
      <c r="P529">
        <f t="shared" si="17"/>
        <v>12.96</v>
      </c>
    </row>
    <row r="530" spans="1:16" x14ac:dyDescent="0.25">
      <c r="A530">
        <v>2014</v>
      </c>
      <c r="B530" t="s">
        <v>329</v>
      </c>
      <c r="C530" t="s">
        <v>330</v>
      </c>
      <c r="D530" t="s">
        <v>26</v>
      </c>
      <c r="E530">
        <v>3.5</v>
      </c>
      <c r="F530">
        <v>6</v>
      </c>
      <c r="G530" t="s">
        <v>18</v>
      </c>
      <c r="H530" t="s">
        <v>143</v>
      </c>
      <c r="I530">
        <v>13</v>
      </c>
      <c r="J530">
        <v>8.4</v>
      </c>
      <c r="K530">
        <v>10.9</v>
      </c>
      <c r="L530">
        <v>26</v>
      </c>
      <c r="M530">
        <v>251</v>
      </c>
      <c r="O530">
        <f t="shared" si="16"/>
        <v>878.5</v>
      </c>
      <c r="P530">
        <f t="shared" si="17"/>
        <v>12.25</v>
      </c>
    </row>
    <row r="531" spans="1:16" x14ac:dyDescent="0.25">
      <c r="A531">
        <v>2014</v>
      </c>
      <c r="B531" t="s">
        <v>396</v>
      </c>
      <c r="C531" t="s">
        <v>401</v>
      </c>
      <c r="D531" t="s">
        <v>22</v>
      </c>
      <c r="E531">
        <v>2.4</v>
      </c>
      <c r="F531">
        <v>4</v>
      </c>
      <c r="G531" t="s">
        <v>398</v>
      </c>
      <c r="H531" t="s">
        <v>143</v>
      </c>
      <c r="I531">
        <v>12.1</v>
      </c>
      <c r="J531">
        <v>9.4</v>
      </c>
      <c r="K531">
        <v>10.9</v>
      </c>
      <c r="L531">
        <v>26</v>
      </c>
      <c r="M531">
        <v>251</v>
      </c>
      <c r="O531">
        <f t="shared" si="16"/>
        <v>602.4</v>
      </c>
      <c r="P531">
        <f t="shared" si="17"/>
        <v>5.76</v>
      </c>
    </row>
    <row r="532" spans="1:16" x14ac:dyDescent="0.25">
      <c r="A532">
        <v>2014</v>
      </c>
      <c r="B532" t="s">
        <v>414</v>
      </c>
      <c r="C532" t="s">
        <v>415</v>
      </c>
      <c r="D532" t="s">
        <v>56</v>
      </c>
      <c r="E532">
        <v>3.3</v>
      </c>
      <c r="F532">
        <v>6</v>
      </c>
      <c r="G532" t="s">
        <v>33</v>
      </c>
      <c r="H532" t="s">
        <v>143</v>
      </c>
      <c r="I532">
        <v>12.7</v>
      </c>
      <c r="J532">
        <v>8.8000000000000007</v>
      </c>
      <c r="K532">
        <v>10.9</v>
      </c>
      <c r="L532">
        <v>26</v>
      </c>
      <c r="M532">
        <v>251</v>
      </c>
      <c r="O532">
        <f t="shared" si="16"/>
        <v>828.3</v>
      </c>
      <c r="P532">
        <f t="shared" si="17"/>
        <v>10.889999999999999</v>
      </c>
    </row>
    <row r="533" spans="1:16" x14ac:dyDescent="0.25">
      <c r="A533">
        <v>2014</v>
      </c>
      <c r="B533" t="s">
        <v>593</v>
      </c>
      <c r="C533" t="s">
        <v>604</v>
      </c>
      <c r="D533" t="s">
        <v>26</v>
      </c>
      <c r="E533">
        <v>3.5</v>
      </c>
      <c r="F533">
        <v>6</v>
      </c>
      <c r="G533" t="s">
        <v>209</v>
      </c>
      <c r="H533" t="s">
        <v>17</v>
      </c>
      <c r="I533">
        <v>12.3</v>
      </c>
      <c r="J533">
        <v>9.1</v>
      </c>
      <c r="K533">
        <v>10.9</v>
      </c>
      <c r="L533">
        <v>26</v>
      </c>
      <c r="M533">
        <v>251</v>
      </c>
      <c r="O533">
        <f t="shared" si="16"/>
        <v>878.5</v>
      </c>
      <c r="P533">
        <f t="shared" si="17"/>
        <v>12.25</v>
      </c>
    </row>
    <row r="534" spans="1:16" x14ac:dyDescent="0.25">
      <c r="A534">
        <v>2014</v>
      </c>
      <c r="B534" t="s">
        <v>618</v>
      </c>
      <c r="C534" t="s">
        <v>626</v>
      </c>
      <c r="D534" t="s">
        <v>32</v>
      </c>
      <c r="E534">
        <v>3.8</v>
      </c>
      <c r="F534">
        <v>6</v>
      </c>
      <c r="G534" t="s">
        <v>181</v>
      </c>
      <c r="H534" t="s">
        <v>17</v>
      </c>
      <c r="I534">
        <v>12.6</v>
      </c>
      <c r="J534">
        <v>8.8000000000000007</v>
      </c>
      <c r="K534">
        <v>10.9</v>
      </c>
      <c r="L534">
        <v>26</v>
      </c>
      <c r="M534">
        <v>251</v>
      </c>
      <c r="O534">
        <f t="shared" si="16"/>
        <v>953.8</v>
      </c>
      <c r="P534">
        <f t="shared" si="17"/>
        <v>14.44</v>
      </c>
    </row>
    <row r="535" spans="1:16" x14ac:dyDescent="0.25">
      <c r="A535">
        <v>2014</v>
      </c>
      <c r="B535" t="s">
        <v>618</v>
      </c>
      <c r="C535" t="s">
        <v>638</v>
      </c>
      <c r="D535" t="s">
        <v>64</v>
      </c>
      <c r="E535">
        <v>3</v>
      </c>
      <c r="F535">
        <v>6</v>
      </c>
      <c r="G535" t="s">
        <v>53</v>
      </c>
      <c r="H535" t="s">
        <v>17</v>
      </c>
      <c r="I535">
        <v>11.8</v>
      </c>
      <c r="J535">
        <v>9.9</v>
      </c>
      <c r="K535">
        <v>10.9</v>
      </c>
      <c r="L535">
        <v>26</v>
      </c>
      <c r="M535">
        <v>251</v>
      </c>
      <c r="O535">
        <f t="shared" si="16"/>
        <v>753</v>
      </c>
      <c r="P535">
        <f t="shared" si="17"/>
        <v>9</v>
      </c>
    </row>
    <row r="536" spans="1:16" x14ac:dyDescent="0.25">
      <c r="A536">
        <v>2014</v>
      </c>
      <c r="B536" t="s">
        <v>618</v>
      </c>
      <c r="C536" t="s">
        <v>642</v>
      </c>
      <c r="D536" t="s">
        <v>56</v>
      </c>
      <c r="E536">
        <v>3.6</v>
      </c>
      <c r="F536">
        <v>6</v>
      </c>
      <c r="G536" t="s">
        <v>38</v>
      </c>
      <c r="H536" t="s">
        <v>17</v>
      </c>
      <c r="I536">
        <v>12.9</v>
      </c>
      <c r="J536">
        <v>8.4</v>
      </c>
      <c r="K536">
        <v>10.9</v>
      </c>
      <c r="L536">
        <v>26</v>
      </c>
      <c r="M536">
        <v>251</v>
      </c>
      <c r="O536">
        <f t="shared" si="16"/>
        <v>903.6</v>
      </c>
      <c r="P536">
        <f t="shared" si="17"/>
        <v>12.96</v>
      </c>
    </row>
    <row r="537" spans="1:16" x14ac:dyDescent="0.25">
      <c r="A537">
        <v>2014</v>
      </c>
      <c r="B537" t="s">
        <v>691</v>
      </c>
      <c r="C537" t="s">
        <v>716</v>
      </c>
      <c r="D537" t="s">
        <v>599</v>
      </c>
      <c r="E537">
        <v>2.7</v>
      </c>
      <c r="F537">
        <v>4</v>
      </c>
      <c r="G537" t="s">
        <v>42</v>
      </c>
      <c r="H537" t="s">
        <v>143</v>
      </c>
      <c r="I537">
        <v>12.2</v>
      </c>
      <c r="J537">
        <v>9.3000000000000007</v>
      </c>
      <c r="K537">
        <v>10.9</v>
      </c>
      <c r="L537">
        <v>26</v>
      </c>
      <c r="M537">
        <v>251</v>
      </c>
      <c r="O537">
        <f t="shared" si="16"/>
        <v>677.7</v>
      </c>
      <c r="P537">
        <f t="shared" si="17"/>
        <v>7.2900000000000009</v>
      </c>
    </row>
    <row r="538" spans="1:16" x14ac:dyDescent="0.25">
      <c r="A538">
        <v>2014</v>
      </c>
      <c r="B538" t="s">
        <v>90</v>
      </c>
      <c r="C538" t="s">
        <v>132</v>
      </c>
      <c r="D538" t="s">
        <v>22</v>
      </c>
      <c r="E538">
        <v>3</v>
      </c>
      <c r="F538">
        <v>6</v>
      </c>
      <c r="G538" t="s">
        <v>53</v>
      </c>
      <c r="H538" t="s">
        <v>17</v>
      </c>
      <c r="I538">
        <v>12.6</v>
      </c>
      <c r="J538">
        <v>9.1</v>
      </c>
      <c r="K538">
        <v>11</v>
      </c>
      <c r="L538">
        <v>26</v>
      </c>
      <c r="M538">
        <v>253</v>
      </c>
      <c r="O538">
        <f t="shared" si="16"/>
        <v>759</v>
      </c>
      <c r="P538">
        <f t="shared" si="17"/>
        <v>9</v>
      </c>
    </row>
    <row r="539" spans="1:16" x14ac:dyDescent="0.25">
      <c r="A539">
        <v>2014</v>
      </c>
      <c r="B539" t="s">
        <v>90</v>
      </c>
      <c r="C539" t="s">
        <v>139</v>
      </c>
      <c r="D539" t="s">
        <v>37</v>
      </c>
      <c r="E539">
        <v>3</v>
      </c>
      <c r="F539">
        <v>6</v>
      </c>
      <c r="G539" t="s">
        <v>18</v>
      </c>
      <c r="H539" t="s">
        <v>17</v>
      </c>
      <c r="I539">
        <v>12.7</v>
      </c>
      <c r="J539">
        <v>9</v>
      </c>
      <c r="K539">
        <v>11</v>
      </c>
      <c r="L539">
        <v>26</v>
      </c>
      <c r="M539">
        <v>253</v>
      </c>
      <c r="O539">
        <f t="shared" si="16"/>
        <v>759</v>
      </c>
      <c r="P539">
        <f t="shared" si="17"/>
        <v>9</v>
      </c>
    </row>
    <row r="540" spans="1:16" x14ac:dyDescent="0.25">
      <c r="A540">
        <v>2014</v>
      </c>
      <c r="B540" t="s">
        <v>155</v>
      </c>
      <c r="C540" t="s">
        <v>163</v>
      </c>
      <c r="D540" t="s">
        <v>59</v>
      </c>
      <c r="E540">
        <v>3</v>
      </c>
      <c r="F540">
        <v>6</v>
      </c>
      <c r="G540" t="s">
        <v>23</v>
      </c>
      <c r="H540" t="s">
        <v>143</v>
      </c>
      <c r="I540">
        <v>12.7</v>
      </c>
      <c r="J540">
        <v>8.9</v>
      </c>
      <c r="K540">
        <v>11</v>
      </c>
      <c r="L540">
        <v>26</v>
      </c>
      <c r="M540">
        <v>253</v>
      </c>
      <c r="O540">
        <f t="shared" si="16"/>
        <v>759</v>
      </c>
      <c r="P540">
        <f t="shared" si="17"/>
        <v>9</v>
      </c>
    </row>
    <row r="541" spans="1:16" x14ac:dyDescent="0.25">
      <c r="A541">
        <v>2014</v>
      </c>
      <c r="B541" t="s">
        <v>358</v>
      </c>
      <c r="C541" t="s">
        <v>367</v>
      </c>
      <c r="D541" t="s">
        <v>26</v>
      </c>
      <c r="E541">
        <v>3.7</v>
      </c>
      <c r="F541">
        <v>6</v>
      </c>
      <c r="G541" t="s">
        <v>360</v>
      </c>
      <c r="H541" t="s">
        <v>17</v>
      </c>
      <c r="I541">
        <v>12.8</v>
      </c>
      <c r="J541">
        <v>8.9</v>
      </c>
      <c r="K541">
        <v>11</v>
      </c>
      <c r="L541">
        <v>26</v>
      </c>
      <c r="M541">
        <v>253</v>
      </c>
      <c r="O541">
        <f t="shared" si="16"/>
        <v>936.1</v>
      </c>
      <c r="P541">
        <f t="shared" si="17"/>
        <v>13.690000000000001</v>
      </c>
    </row>
    <row r="542" spans="1:16" x14ac:dyDescent="0.25">
      <c r="A542">
        <v>2014</v>
      </c>
      <c r="B542" t="s">
        <v>358</v>
      </c>
      <c r="C542" t="s">
        <v>372</v>
      </c>
      <c r="D542" t="s">
        <v>22</v>
      </c>
      <c r="E542">
        <v>3.5</v>
      </c>
      <c r="F542">
        <v>6</v>
      </c>
      <c r="G542" t="s">
        <v>209</v>
      </c>
      <c r="H542" t="s">
        <v>17</v>
      </c>
      <c r="I542">
        <v>12.3</v>
      </c>
      <c r="J542">
        <v>9.3000000000000007</v>
      </c>
      <c r="K542">
        <v>11</v>
      </c>
      <c r="L542">
        <v>26</v>
      </c>
      <c r="M542">
        <v>253</v>
      </c>
      <c r="O542">
        <f t="shared" si="16"/>
        <v>885.5</v>
      </c>
      <c r="P542">
        <f t="shared" si="17"/>
        <v>12.25</v>
      </c>
    </row>
    <row r="543" spans="1:16" x14ac:dyDescent="0.25">
      <c r="A543">
        <v>2014</v>
      </c>
      <c r="B543" t="s">
        <v>396</v>
      </c>
      <c r="C543" t="s">
        <v>400</v>
      </c>
      <c r="D543" t="s">
        <v>22</v>
      </c>
      <c r="E543">
        <v>3.2</v>
      </c>
      <c r="F543">
        <v>6</v>
      </c>
      <c r="G543" t="s">
        <v>398</v>
      </c>
      <c r="H543" t="s">
        <v>143</v>
      </c>
      <c r="I543">
        <v>12.5</v>
      </c>
      <c r="J543">
        <v>9.1</v>
      </c>
      <c r="K543">
        <v>11</v>
      </c>
      <c r="L543">
        <v>26</v>
      </c>
      <c r="M543">
        <v>253</v>
      </c>
      <c r="O543">
        <f t="shared" si="16"/>
        <v>809.6</v>
      </c>
      <c r="P543">
        <f t="shared" si="17"/>
        <v>10.240000000000002</v>
      </c>
    </row>
    <row r="544" spans="1:16" x14ac:dyDescent="0.25">
      <c r="A544">
        <v>2014</v>
      </c>
      <c r="B544" t="s">
        <v>414</v>
      </c>
      <c r="C544" t="s">
        <v>426</v>
      </c>
      <c r="D544" t="s">
        <v>22</v>
      </c>
      <c r="E544">
        <v>2.4</v>
      </c>
      <c r="F544">
        <v>4</v>
      </c>
      <c r="G544" t="s">
        <v>33</v>
      </c>
      <c r="H544" t="s">
        <v>143</v>
      </c>
      <c r="I544">
        <v>12.3</v>
      </c>
      <c r="J544">
        <v>9.3000000000000007</v>
      </c>
      <c r="K544">
        <v>11</v>
      </c>
      <c r="L544">
        <v>26</v>
      </c>
      <c r="M544">
        <v>253</v>
      </c>
      <c r="O544">
        <f t="shared" si="16"/>
        <v>607.19999999999993</v>
      </c>
      <c r="P544">
        <f t="shared" si="17"/>
        <v>5.76</v>
      </c>
    </row>
    <row r="545" spans="1:16" x14ac:dyDescent="0.25">
      <c r="A545">
        <v>2014</v>
      </c>
      <c r="B545" t="s">
        <v>450</v>
      </c>
      <c r="C545" t="s">
        <v>456</v>
      </c>
      <c r="D545" t="s">
        <v>26</v>
      </c>
      <c r="E545">
        <v>3.5</v>
      </c>
      <c r="F545">
        <v>6</v>
      </c>
      <c r="G545" t="s">
        <v>23</v>
      </c>
      <c r="H545" t="s">
        <v>17</v>
      </c>
      <c r="I545">
        <v>12.5</v>
      </c>
      <c r="J545">
        <v>9.1</v>
      </c>
      <c r="K545">
        <v>11</v>
      </c>
      <c r="L545">
        <v>26</v>
      </c>
      <c r="M545">
        <v>253</v>
      </c>
      <c r="O545">
        <f t="shared" si="16"/>
        <v>885.5</v>
      </c>
      <c r="P545">
        <f t="shared" si="17"/>
        <v>12.25</v>
      </c>
    </row>
    <row r="546" spans="1:16" x14ac:dyDescent="0.25">
      <c r="A546">
        <v>2014</v>
      </c>
      <c r="B546" t="s">
        <v>450</v>
      </c>
      <c r="C546" t="s">
        <v>463</v>
      </c>
      <c r="D546" t="s">
        <v>15</v>
      </c>
      <c r="E546">
        <v>3.5</v>
      </c>
      <c r="F546">
        <v>6</v>
      </c>
      <c r="G546" t="s">
        <v>23</v>
      </c>
      <c r="H546" t="s">
        <v>17</v>
      </c>
      <c r="I546">
        <v>12.5</v>
      </c>
      <c r="J546">
        <v>9.1</v>
      </c>
      <c r="K546">
        <v>11</v>
      </c>
      <c r="L546">
        <v>26</v>
      </c>
      <c r="M546">
        <v>253</v>
      </c>
      <c r="O546">
        <f t="shared" si="16"/>
        <v>885.5</v>
      </c>
      <c r="P546">
        <f t="shared" si="17"/>
        <v>12.25</v>
      </c>
    </row>
    <row r="547" spans="1:16" x14ac:dyDescent="0.25">
      <c r="A547">
        <v>2014</v>
      </c>
      <c r="B547" t="s">
        <v>593</v>
      </c>
      <c r="C547" t="s">
        <v>594</v>
      </c>
      <c r="D547" t="s">
        <v>37</v>
      </c>
      <c r="E547">
        <v>3.7</v>
      </c>
      <c r="F547">
        <v>6</v>
      </c>
      <c r="G547" t="s">
        <v>360</v>
      </c>
      <c r="H547" t="s">
        <v>17</v>
      </c>
      <c r="I547">
        <v>12.6</v>
      </c>
      <c r="J547">
        <v>9.1</v>
      </c>
      <c r="K547">
        <v>11</v>
      </c>
      <c r="L547">
        <v>26</v>
      </c>
      <c r="M547">
        <v>253</v>
      </c>
      <c r="O547">
        <f t="shared" si="16"/>
        <v>936.1</v>
      </c>
      <c r="P547">
        <f t="shared" si="17"/>
        <v>13.690000000000001</v>
      </c>
    </row>
    <row r="548" spans="1:16" x14ac:dyDescent="0.25">
      <c r="A548">
        <v>2014</v>
      </c>
      <c r="B548" t="s">
        <v>593</v>
      </c>
      <c r="C548" t="s">
        <v>608</v>
      </c>
      <c r="D548" t="s">
        <v>22</v>
      </c>
      <c r="E548">
        <v>3.5</v>
      </c>
      <c r="F548">
        <v>6</v>
      </c>
      <c r="G548" t="s">
        <v>209</v>
      </c>
      <c r="H548" t="s">
        <v>143</v>
      </c>
      <c r="I548">
        <v>12.3</v>
      </c>
      <c r="J548">
        <v>9.3000000000000007</v>
      </c>
      <c r="K548">
        <v>11</v>
      </c>
      <c r="L548">
        <v>26</v>
      </c>
      <c r="M548">
        <v>253</v>
      </c>
      <c r="O548">
        <f t="shared" si="16"/>
        <v>885.5</v>
      </c>
      <c r="P548">
        <f t="shared" si="17"/>
        <v>12.25</v>
      </c>
    </row>
    <row r="549" spans="1:16" x14ac:dyDescent="0.25">
      <c r="A549">
        <v>2014</v>
      </c>
      <c r="B549" t="s">
        <v>618</v>
      </c>
      <c r="C549" t="s">
        <v>621</v>
      </c>
      <c r="D549" t="s">
        <v>32</v>
      </c>
      <c r="E549">
        <v>3.4</v>
      </c>
      <c r="F549">
        <v>6</v>
      </c>
      <c r="G549" t="s">
        <v>181</v>
      </c>
      <c r="H549" t="s">
        <v>17</v>
      </c>
      <c r="I549">
        <v>12.6</v>
      </c>
      <c r="J549">
        <v>9</v>
      </c>
      <c r="K549">
        <v>11</v>
      </c>
      <c r="L549">
        <v>26</v>
      </c>
      <c r="M549">
        <v>253</v>
      </c>
      <c r="O549">
        <f t="shared" si="16"/>
        <v>860.19999999999993</v>
      </c>
      <c r="P549">
        <f t="shared" si="17"/>
        <v>11.559999999999999</v>
      </c>
    </row>
    <row r="550" spans="1:16" x14ac:dyDescent="0.25">
      <c r="A550">
        <v>2014</v>
      </c>
      <c r="B550" t="s">
        <v>618</v>
      </c>
      <c r="C550" t="s">
        <v>622</v>
      </c>
      <c r="D550" t="s">
        <v>32</v>
      </c>
      <c r="E550">
        <v>3.8</v>
      </c>
      <c r="F550">
        <v>6</v>
      </c>
      <c r="G550" t="s">
        <v>181</v>
      </c>
      <c r="H550" t="s">
        <v>17</v>
      </c>
      <c r="I550">
        <v>12.8</v>
      </c>
      <c r="J550">
        <v>8.9</v>
      </c>
      <c r="K550">
        <v>11</v>
      </c>
      <c r="L550">
        <v>26</v>
      </c>
      <c r="M550">
        <v>253</v>
      </c>
      <c r="O550">
        <f t="shared" si="16"/>
        <v>961.4</v>
      </c>
      <c r="P550">
        <f t="shared" si="17"/>
        <v>14.44</v>
      </c>
    </row>
    <row r="551" spans="1:16" x14ac:dyDescent="0.25">
      <c r="A551">
        <v>2014</v>
      </c>
      <c r="B551" t="s">
        <v>618</v>
      </c>
      <c r="C551" t="s">
        <v>623</v>
      </c>
      <c r="D551" t="s">
        <v>32</v>
      </c>
      <c r="E551">
        <v>3.8</v>
      </c>
      <c r="F551">
        <v>6</v>
      </c>
      <c r="G551" t="s">
        <v>38</v>
      </c>
      <c r="H551" t="s">
        <v>17</v>
      </c>
      <c r="I551">
        <v>12.7</v>
      </c>
      <c r="J551">
        <v>9</v>
      </c>
      <c r="K551">
        <v>11</v>
      </c>
      <c r="L551">
        <v>26</v>
      </c>
      <c r="M551">
        <v>253</v>
      </c>
      <c r="O551">
        <f t="shared" si="16"/>
        <v>961.4</v>
      </c>
      <c r="P551">
        <f t="shared" si="17"/>
        <v>14.44</v>
      </c>
    </row>
    <row r="552" spans="1:16" x14ac:dyDescent="0.25">
      <c r="A552">
        <v>2014</v>
      </c>
      <c r="B552" t="s">
        <v>691</v>
      </c>
      <c r="C552" t="s">
        <v>720</v>
      </c>
      <c r="D552" t="s">
        <v>22</v>
      </c>
      <c r="E552">
        <v>3.5</v>
      </c>
      <c r="F552">
        <v>6</v>
      </c>
      <c r="G552" t="s">
        <v>23</v>
      </c>
      <c r="H552" t="s">
        <v>143</v>
      </c>
      <c r="I552">
        <v>12.6</v>
      </c>
      <c r="J552">
        <v>9.1</v>
      </c>
      <c r="K552">
        <v>11</v>
      </c>
      <c r="L552">
        <v>26</v>
      </c>
      <c r="M552">
        <v>253</v>
      </c>
      <c r="O552">
        <f t="shared" si="16"/>
        <v>885.5</v>
      </c>
      <c r="P552">
        <f t="shared" si="17"/>
        <v>12.25</v>
      </c>
    </row>
    <row r="553" spans="1:16" x14ac:dyDescent="0.25">
      <c r="A553">
        <v>2014</v>
      </c>
      <c r="B553" t="s">
        <v>13</v>
      </c>
      <c r="C553" t="s">
        <v>21</v>
      </c>
      <c r="D553" t="s">
        <v>22</v>
      </c>
      <c r="E553">
        <v>3.5</v>
      </c>
      <c r="F553">
        <v>6</v>
      </c>
      <c r="G553" t="s">
        <v>23</v>
      </c>
      <c r="H553" t="s">
        <v>17</v>
      </c>
      <c r="I553">
        <v>12.7</v>
      </c>
      <c r="J553">
        <v>9.1</v>
      </c>
      <c r="K553">
        <v>11.1</v>
      </c>
      <c r="L553">
        <v>25</v>
      </c>
      <c r="M553">
        <v>255</v>
      </c>
      <c r="O553">
        <f t="shared" si="16"/>
        <v>892.5</v>
      </c>
      <c r="P553">
        <f t="shared" si="17"/>
        <v>12.25</v>
      </c>
    </row>
    <row r="554" spans="1:16" x14ac:dyDescent="0.25">
      <c r="A554">
        <v>2014</v>
      </c>
      <c r="B554" t="s">
        <v>13</v>
      </c>
      <c r="C554" t="s">
        <v>28</v>
      </c>
      <c r="D554" t="s">
        <v>26</v>
      </c>
      <c r="E554">
        <v>3.7</v>
      </c>
      <c r="F554">
        <v>6</v>
      </c>
      <c r="G554" t="s">
        <v>23</v>
      </c>
      <c r="H554" t="s">
        <v>17</v>
      </c>
      <c r="I554">
        <v>12.8</v>
      </c>
      <c r="J554">
        <v>9</v>
      </c>
      <c r="K554">
        <v>11.1</v>
      </c>
      <c r="L554">
        <v>25</v>
      </c>
      <c r="M554">
        <v>255</v>
      </c>
      <c r="O554">
        <f t="shared" si="16"/>
        <v>943.5</v>
      </c>
      <c r="P554">
        <f t="shared" si="17"/>
        <v>13.690000000000001</v>
      </c>
    </row>
    <row r="555" spans="1:16" x14ac:dyDescent="0.25">
      <c r="A555">
        <v>2014</v>
      </c>
      <c r="B555" t="s">
        <v>90</v>
      </c>
      <c r="C555" t="s">
        <v>133</v>
      </c>
      <c r="D555" t="s">
        <v>64</v>
      </c>
      <c r="E555">
        <v>3</v>
      </c>
      <c r="F555">
        <v>6</v>
      </c>
      <c r="G555" t="s">
        <v>53</v>
      </c>
      <c r="H555" t="s">
        <v>17</v>
      </c>
      <c r="I555">
        <v>12.9</v>
      </c>
      <c r="J555">
        <v>8.8000000000000007</v>
      </c>
      <c r="K555">
        <v>11.1</v>
      </c>
      <c r="L555">
        <v>25</v>
      </c>
      <c r="M555">
        <v>255</v>
      </c>
      <c r="O555">
        <f t="shared" si="16"/>
        <v>765</v>
      </c>
      <c r="P555">
        <f t="shared" si="17"/>
        <v>9</v>
      </c>
    </row>
    <row r="556" spans="1:16" x14ac:dyDescent="0.25">
      <c r="A556">
        <v>2014</v>
      </c>
      <c r="B556" t="s">
        <v>155</v>
      </c>
      <c r="C556" t="s">
        <v>164</v>
      </c>
      <c r="D556" t="s">
        <v>59</v>
      </c>
      <c r="E556">
        <v>3</v>
      </c>
      <c r="F556">
        <v>6</v>
      </c>
      <c r="G556" t="s">
        <v>23</v>
      </c>
      <c r="H556" t="s">
        <v>143</v>
      </c>
      <c r="I556">
        <v>12.8</v>
      </c>
      <c r="J556">
        <v>9.1</v>
      </c>
      <c r="K556">
        <v>11.1</v>
      </c>
      <c r="L556">
        <v>25</v>
      </c>
      <c r="M556">
        <v>255</v>
      </c>
      <c r="O556">
        <f t="shared" si="16"/>
        <v>765</v>
      </c>
      <c r="P556">
        <f t="shared" si="17"/>
        <v>9</v>
      </c>
    </row>
    <row r="557" spans="1:16" x14ac:dyDescent="0.25">
      <c r="A557">
        <v>2014</v>
      </c>
      <c r="B557" t="s">
        <v>232</v>
      </c>
      <c r="C557" t="s">
        <v>254</v>
      </c>
      <c r="D557" t="s">
        <v>22</v>
      </c>
      <c r="E557">
        <v>2.4</v>
      </c>
      <c r="F557">
        <v>4</v>
      </c>
      <c r="G557" t="s">
        <v>42</v>
      </c>
      <c r="H557" t="s">
        <v>143</v>
      </c>
      <c r="I557">
        <v>12.7</v>
      </c>
      <c r="J557">
        <v>9.1</v>
      </c>
      <c r="K557">
        <v>11.1</v>
      </c>
      <c r="L557">
        <v>25</v>
      </c>
      <c r="M557">
        <v>255</v>
      </c>
      <c r="O557">
        <f t="shared" si="16"/>
        <v>612</v>
      </c>
      <c r="P557">
        <f t="shared" si="17"/>
        <v>5.76</v>
      </c>
    </row>
    <row r="558" spans="1:16" x14ac:dyDescent="0.25">
      <c r="A558">
        <v>2014</v>
      </c>
      <c r="B558" t="s">
        <v>342</v>
      </c>
      <c r="C558" t="s">
        <v>346</v>
      </c>
      <c r="D558" t="s">
        <v>56</v>
      </c>
      <c r="E558">
        <v>3.8</v>
      </c>
      <c r="F558">
        <v>6</v>
      </c>
      <c r="G558" t="s">
        <v>53</v>
      </c>
      <c r="H558" t="s">
        <v>143</v>
      </c>
      <c r="I558">
        <v>13</v>
      </c>
      <c r="J558">
        <v>8.6999999999999993</v>
      </c>
      <c r="K558">
        <v>11.1</v>
      </c>
      <c r="L558">
        <v>25</v>
      </c>
      <c r="M558">
        <v>255</v>
      </c>
      <c r="O558">
        <f t="shared" si="16"/>
        <v>969</v>
      </c>
      <c r="P558">
        <f t="shared" si="17"/>
        <v>14.44</v>
      </c>
    </row>
    <row r="559" spans="1:16" x14ac:dyDescent="0.25">
      <c r="A559">
        <v>2014</v>
      </c>
      <c r="B559" t="s">
        <v>342</v>
      </c>
      <c r="C559" t="s">
        <v>350</v>
      </c>
      <c r="D559" t="s">
        <v>22</v>
      </c>
      <c r="E559">
        <v>2.4</v>
      </c>
      <c r="F559">
        <v>4</v>
      </c>
      <c r="G559" t="s">
        <v>33</v>
      </c>
      <c r="H559" t="s">
        <v>143</v>
      </c>
      <c r="I559">
        <v>12.5</v>
      </c>
      <c r="J559">
        <v>9.4</v>
      </c>
      <c r="K559">
        <v>11.1</v>
      </c>
      <c r="L559">
        <v>25</v>
      </c>
      <c r="M559">
        <v>255</v>
      </c>
      <c r="O559">
        <f t="shared" si="16"/>
        <v>612</v>
      </c>
      <c r="P559">
        <f t="shared" si="17"/>
        <v>5.76</v>
      </c>
    </row>
    <row r="560" spans="1:16" x14ac:dyDescent="0.25">
      <c r="A560">
        <v>2014</v>
      </c>
      <c r="B560" t="s">
        <v>358</v>
      </c>
      <c r="C560" t="s">
        <v>366</v>
      </c>
      <c r="D560" t="s">
        <v>35</v>
      </c>
      <c r="E560">
        <v>3.7</v>
      </c>
      <c r="F560">
        <v>6</v>
      </c>
      <c r="G560" t="s">
        <v>360</v>
      </c>
      <c r="H560" t="s">
        <v>17</v>
      </c>
      <c r="I560">
        <v>12.9</v>
      </c>
      <c r="J560">
        <v>8.9</v>
      </c>
      <c r="K560">
        <v>11.1</v>
      </c>
      <c r="L560">
        <v>25</v>
      </c>
      <c r="M560">
        <v>255</v>
      </c>
      <c r="O560">
        <f t="shared" si="16"/>
        <v>943.5</v>
      </c>
      <c r="P560">
        <f t="shared" si="17"/>
        <v>13.690000000000001</v>
      </c>
    </row>
    <row r="561" spans="1:16" x14ac:dyDescent="0.25">
      <c r="A561">
        <v>2014</v>
      </c>
      <c r="B561" t="s">
        <v>396</v>
      </c>
      <c r="C561" t="s">
        <v>404</v>
      </c>
      <c r="D561" t="s">
        <v>22</v>
      </c>
      <c r="E561">
        <v>2.4</v>
      </c>
      <c r="F561">
        <v>4</v>
      </c>
      <c r="G561" t="s">
        <v>209</v>
      </c>
      <c r="H561" t="s">
        <v>143</v>
      </c>
      <c r="I561">
        <v>11.7</v>
      </c>
      <c r="J561">
        <v>10.3</v>
      </c>
      <c r="K561">
        <v>11.1</v>
      </c>
      <c r="L561">
        <v>25</v>
      </c>
      <c r="M561">
        <v>255</v>
      </c>
      <c r="O561">
        <f t="shared" si="16"/>
        <v>612</v>
      </c>
      <c r="P561">
        <f t="shared" si="17"/>
        <v>5.76</v>
      </c>
    </row>
    <row r="562" spans="1:16" x14ac:dyDescent="0.25">
      <c r="A562">
        <v>2014</v>
      </c>
      <c r="B562" t="s">
        <v>396</v>
      </c>
      <c r="C562" t="s">
        <v>411</v>
      </c>
      <c r="D562" t="s">
        <v>22</v>
      </c>
      <c r="E562">
        <v>2.4</v>
      </c>
      <c r="F562">
        <v>4</v>
      </c>
      <c r="G562" t="s">
        <v>209</v>
      </c>
      <c r="H562" t="s">
        <v>143</v>
      </c>
      <c r="I562">
        <v>11.7</v>
      </c>
      <c r="J562">
        <v>10.3</v>
      </c>
      <c r="K562">
        <v>11.1</v>
      </c>
      <c r="L562">
        <v>25</v>
      </c>
      <c r="M562">
        <v>255</v>
      </c>
      <c r="O562">
        <f t="shared" si="16"/>
        <v>612</v>
      </c>
      <c r="P562">
        <f t="shared" si="17"/>
        <v>5.76</v>
      </c>
    </row>
    <row r="563" spans="1:16" x14ac:dyDescent="0.25">
      <c r="A563">
        <v>2014</v>
      </c>
      <c r="B563" t="s">
        <v>450</v>
      </c>
      <c r="C563" t="s">
        <v>471</v>
      </c>
      <c r="D563" t="s">
        <v>22</v>
      </c>
      <c r="E563">
        <v>3.5</v>
      </c>
      <c r="F563">
        <v>6</v>
      </c>
      <c r="G563" t="s">
        <v>45</v>
      </c>
      <c r="H563" t="s">
        <v>143</v>
      </c>
      <c r="I563">
        <v>12.7</v>
      </c>
      <c r="J563">
        <v>9.1</v>
      </c>
      <c r="K563">
        <v>11.1</v>
      </c>
      <c r="L563">
        <v>25</v>
      </c>
      <c r="M563">
        <v>255</v>
      </c>
      <c r="O563">
        <f t="shared" si="16"/>
        <v>892.5</v>
      </c>
      <c r="P563">
        <f t="shared" si="17"/>
        <v>12.25</v>
      </c>
    </row>
    <row r="564" spans="1:16" x14ac:dyDescent="0.25">
      <c r="A564">
        <v>2014</v>
      </c>
      <c r="B564" t="s">
        <v>593</v>
      </c>
      <c r="C564" t="s">
        <v>610</v>
      </c>
      <c r="D564" t="s">
        <v>231</v>
      </c>
      <c r="E564">
        <v>3.5</v>
      </c>
      <c r="F564">
        <v>6</v>
      </c>
      <c r="G564" t="s">
        <v>209</v>
      </c>
      <c r="H564" t="s">
        <v>143</v>
      </c>
      <c r="I564">
        <v>12.5</v>
      </c>
      <c r="J564">
        <v>9.5</v>
      </c>
      <c r="K564">
        <v>11.1</v>
      </c>
      <c r="L564">
        <v>25</v>
      </c>
      <c r="M564">
        <v>255</v>
      </c>
      <c r="O564">
        <f t="shared" si="16"/>
        <v>892.5</v>
      </c>
      <c r="P564">
        <f t="shared" si="17"/>
        <v>12.25</v>
      </c>
    </row>
    <row r="565" spans="1:16" x14ac:dyDescent="0.25">
      <c r="A565">
        <v>2014</v>
      </c>
      <c r="B565" t="s">
        <v>618</v>
      </c>
      <c r="C565" t="s">
        <v>643</v>
      </c>
      <c r="D565" t="s">
        <v>56</v>
      </c>
      <c r="E565">
        <v>3.6</v>
      </c>
      <c r="F565">
        <v>6</v>
      </c>
      <c r="G565" t="s">
        <v>38</v>
      </c>
      <c r="H565" t="s">
        <v>17</v>
      </c>
      <c r="I565">
        <v>13.1</v>
      </c>
      <c r="J565">
        <v>8.6999999999999993</v>
      </c>
      <c r="K565">
        <v>11.1</v>
      </c>
      <c r="L565">
        <v>25</v>
      </c>
      <c r="M565">
        <v>255</v>
      </c>
      <c r="O565">
        <f t="shared" si="16"/>
        <v>918</v>
      </c>
      <c r="P565">
        <f t="shared" si="17"/>
        <v>12.96</v>
      </c>
    </row>
    <row r="566" spans="1:16" x14ac:dyDescent="0.25">
      <c r="A566">
        <v>2014</v>
      </c>
      <c r="B566" t="s">
        <v>41</v>
      </c>
      <c r="C566" t="s">
        <v>51</v>
      </c>
      <c r="D566" t="s">
        <v>26</v>
      </c>
      <c r="E566">
        <v>3</v>
      </c>
      <c r="F566">
        <v>6</v>
      </c>
      <c r="G566" t="s">
        <v>45</v>
      </c>
      <c r="H566" t="s">
        <v>17</v>
      </c>
      <c r="I566">
        <v>13.1</v>
      </c>
      <c r="J566">
        <v>8.8000000000000007</v>
      </c>
      <c r="K566">
        <v>11.2</v>
      </c>
      <c r="L566">
        <v>25</v>
      </c>
      <c r="M566">
        <v>258</v>
      </c>
      <c r="O566">
        <f t="shared" si="16"/>
        <v>774</v>
      </c>
      <c r="P566">
        <f t="shared" si="17"/>
        <v>9</v>
      </c>
    </row>
    <row r="567" spans="1:16" x14ac:dyDescent="0.25">
      <c r="A567">
        <v>2014</v>
      </c>
      <c r="B567" t="s">
        <v>41</v>
      </c>
      <c r="C567" t="s">
        <v>53</v>
      </c>
      <c r="D567" t="s">
        <v>26</v>
      </c>
      <c r="E567">
        <v>3</v>
      </c>
      <c r="F567">
        <v>6</v>
      </c>
      <c r="G567" t="s">
        <v>45</v>
      </c>
      <c r="H567" t="s">
        <v>17</v>
      </c>
      <c r="I567">
        <v>13.1</v>
      </c>
      <c r="J567">
        <v>8.8000000000000007</v>
      </c>
      <c r="K567">
        <v>11.2</v>
      </c>
      <c r="L567">
        <v>25</v>
      </c>
      <c r="M567">
        <v>258</v>
      </c>
      <c r="O567">
        <f t="shared" si="16"/>
        <v>774</v>
      </c>
      <c r="P567">
        <f t="shared" si="17"/>
        <v>9</v>
      </c>
    </row>
    <row r="568" spans="1:16" x14ac:dyDescent="0.25">
      <c r="A568">
        <v>2014</v>
      </c>
      <c r="B568" t="s">
        <v>41</v>
      </c>
      <c r="C568" t="s">
        <v>55</v>
      </c>
      <c r="D568" t="s">
        <v>56</v>
      </c>
      <c r="E568">
        <v>3</v>
      </c>
      <c r="F568">
        <v>6</v>
      </c>
      <c r="G568" t="s">
        <v>45</v>
      </c>
      <c r="H568" t="s">
        <v>17</v>
      </c>
      <c r="I568">
        <v>13.1</v>
      </c>
      <c r="J568">
        <v>8.8000000000000007</v>
      </c>
      <c r="K568">
        <v>11.2</v>
      </c>
      <c r="L568">
        <v>25</v>
      </c>
      <c r="M568">
        <v>258</v>
      </c>
      <c r="O568">
        <f t="shared" si="16"/>
        <v>774</v>
      </c>
      <c r="P568">
        <f t="shared" si="17"/>
        <v>9</v>
      </c>
    </row>
    <row r="569" spans="1:16" x14ac:dyDescent="0.25">
      <c r="A569">
        <v>2014</v>
      </c>
      <c r="B569" t="s">
        <v>41</v>
      </c>
      <c r="C569" t="s">
        <v>60</v>
      </c>
      <c r="D569" t="s">
        <v>22</v>
      </c>
      <c r="E569">
        <v>3</v>
      </c>
      <c r="F569">
        <v>6</v>
      </c>
      <c r="G569" t="s">
        <v>45</v>
      </c>
      <c r="H569" t="s">
        <v>17</v>
      </c>
      <c r="I569">
        <v>12.9</v>
      </c>
      <c r="J569">
        <v>9.1999999999999993</v>
      </c>
      <c r="K569">
        <v>11.2</v>
      </c>
      <c r="L569">
        <v>25</v>
      </c>
      <c r="M569">
        <v>258</v>
      </c>
      <c r="O569">
        <f t="shared" si="16"/>
        <v>774</v>
      </c>
      <c r="P569">
        <f t="shared" si="17"/>
        <v>9</v>
      </c>
    </row>
    <row r="570" spans="1:16" x14ac:dyDescent="0.25">
      <c r="A570">
        <v>2014</v>
      </c>
      <c r="B570" t="s">
        <v>155</v>
      </c>
      <c r="C570" t="s">
        <v>158</v>
      </c>
      <c r="D570" t="s">
        <v>26</v>
      </c>
      <c r="E570">
        <v>3.6</v>
      </c>
      <c r="F570">
        <v>6</v>
      </c>
      <c r="G570" t="s">
        <v>23</v>
      </c>
      <c r="H570" t="s">
        <v>143</v>
      </c>
      <c r="I570">
        <v>13.2</v>
      </c>
      <c r="J570">
        <v>8.6999999999999993</v>
      </c>
      <c r="K570">
        <v>11.2</v>
      </c>
      <c r="L570">
        <v>25</v>
      </c>
      <c r="M570">
        <v>258</v>
      </c>
      <c r="O570">
        <f t="shared" si="16"/>
        <v>928.80000000000007</v>
      </c>
      <c r="P570">
        <f t="shared" si="17"/>
        <v>12.96</v>
      </c>
    </row>
    <row r="571" spans="1:16" x14ac:dyDescent="0.25">
      <c r="A571">
        <v>2014</v>
      </c>
      <c r="B571" t="s">
        <v>175</v>
      </c>
      <c r="C571" t="s">
        <v>176</v>
      </c>
      <c r="D571" t="s">
        <v>15</v>
      </c>
      <c r="E571">
        <v>3.6</v>
      </c>
      <c r="F571">
        <v>6</v>
      </c>
      <c r="G571" t="s">
        <v>23</v>
      </c>
      <c r="H571" t="s">
        <v>143</v>
      </c>
      <c r="I571">
        <v>13.2</v>
      </c>
      <c r="J571">
        <v>8.6999999999999993</v>
      </c>
      <c r="K571">
        <v>11.2</v>
      </c>
      <c r="L571">
        <v>25</v>
      </c>
      <c r="M571">
        <v>258</v>
      </c>
      <c r="O571">
        <f t="shared" si="16"/>
        <v>928.80000000000007</v>
      </c>
      <c r="P571">
        <f t="shared" si="17"/>
        <v>12.96</v>
      </c>
    </row>
    <row r="572" spans="1:16" x14ac:dyDescent="0.25">
      <c r="A572">
        <v>2014</v>
      </c>
      <c r="B572" t="s">
        <v>175</v>
      </c>
      <c r="C572" t="s">
        <v>180</v>
      </c>
      <c r="D572" t="s">
        <v>37</v>
      </c>
      <c r="E572">
        <v>6.2</v>
      </c>
      <c r="F572">
        <v>8</v>
      </c>
      <c r="G572" t="s">
        <v>181</v>
      </c>
      <c r="H572" t="s">
        <v>17</v>
      </c>
      <c r="I572">
        <v>13.7</v>
      </c>
      <c r="J572">
        <v>8.1999999999999993</v>
      </c>
      <c r="K572">
        <v>11.2</v>
      </c>
      <c r="L572">
        <v>25</v>
      </c>
      <c r="M572">
        <v>258</v>
      </c>
      <c r="O572">
        <f t="shared" si="16"/>
        <v>1599.6000000000001</v>
      </c>
      <c r="P572">
        <f t="shared" si="17"/>
        <v>38.440000000000005</v>
      </c>
    </row>
    <row r="573" spans="1:16" x14ac:dyDescent="0.25">
      <c r="A573">
        <v>2014</v>
      </c>
      <c r="B573" t="s">
        <v>232</v>
      </c>
      <c r="C573" t="s">
        <v>235</v>
      </c>
      <c r="D573" t="s">
        <v>26</v>
      </c>
      <c r="E573">
        <v>3.6</v>
      </c>
      <c r="F573">
        <v>6</v>
      </c>
      <c r="G573" t="s">
        <v>224</v>
      </c>
      <c r="H573" t="s">
        <v>143</v>
      </c>
      <c r="I573">
        <v>13.2</v>
      </c>
      <c r="J573">
        <v>8.6999999999999993</v>
      </c>
      <c r="K573">
        <v>11.2</v>
      </c>
      <c r="L573">
        <v>25</v>
      </c>
      <c r="M573">
        <v>258</v>
      </c>
      <c r="O573">
        <f t="shared" si="16"/>
        <v>928.80000000000007</v>
      </c>
      <c r="P573">
        <f t="shared" si="17"/>
        <v>12.96</v>
      </c>
    </row>
    <row r="574" spans="1:16" x14ac:dyDescent="0.25">
      <c r="A574">
        <v>2014</v>
      </c>
      <c r="B574" t="s">
        <v>232</v>
      </c>
      <c r="C574" t="s">
        <v>239</v>
      </c>
      <c r="D574" t="s">
        <v>56</v>
      </c>
      <c r="E574">
        <v>3.6</v>
      </c>
      <c r="F574">
        <v>6</v>
      </c>
      <c r="G574" t="s">
        <v>224</v>
      </c>
      <c r="H574" t="s">
        <v>143</v>
      </c>
      <c r="I574">
        <v>13.2</v>
      </c>
      <c r="J574">
        <v>8.6999999999999993</v>
      </c>
      <c r="K574">
        <v>11.2</v>
      </c>
      <c r="L574">
        <v>25</v>
      </c>
      <c r="M574">
        <v>258</v>
      </c>
      <c r="O574">
        <f t="shared" si="16"/>
        <v>928.80000000000007</v>
      </c>
      <c r="P574">
        <f t="shared" si="17"/>
        <v>12.96</v>
      </c>
    </row>
    <row r="575" spans="1:16" x14ac:dyDescent="0.25">
      <c r="A575">
        <v>2014</v>
      </c>
      <c r="B575" t="s">
        <v>232</v>
      </c>
      <c r="C575" t="s">
        <v>244</v>
      </c>
      <c r="D575" t="s">
        <v>56</v>
      </c>
      <c r="E575">
        <v>3.6</v>
      </c>
      <c r="F575">
        <v>6</v>
      </c>
      <c r="G575" t="s">
        <v>224</v>
      </c>
      <c r="H575" t="s">
        <v>143</v>
      </c>
      <c r="I575">
        <v>13.2</v>
      </c>
      <c r="J575">
        <v>8.6999999999999993</v>
      </c>
      <c r="K575">
        <v>11.2</v>
      </c>
      <c r="L575">
        <v>25</v>
      </c>
      <c r="M575">
        <v>258</v>
      </c>
      <c r="O575">
        <f t="shared" si="16"/>
        <v>928.80000000000007</v>
      </c>
      <c r="P575">
        <f t="shared" si="17"/>
        <v>12.96</v>
      </c>
    </row>
    <row r="576" spans="1:16" x14ac:dyDescent="0.25">
      <c r="A576">
        <v>2014</v>
      </c>
      <c r="B576" t="s">
        <v>265</v>
      </c>
      <c r="C576" t="s">
        <v>303</v>
      </c>
      <c r="D576" t="s">
        <v>56</v>
      </c>
      <c r="E576">
        <v>3.5</v>
      </c>
      <c r="F576">
        <v>6</v>
      </c>
      <c r="G576" t="s">
        <v>23</v>
      </c>
      <c r="H576" t="s">
        <v>143</v>
      </c>
      <c r="I576">
        <v>13</v>
      </c>
      <c r="J576">
        <v>9.1</v>
      </c>
      <c r="K576">
        <v>11.2</v>
      </c>
      <c r="L576">
        <v>25</v>
      </c>
      <c r="M576">
        <v>258</v>
      </c>
      <c r="O576">
        <f t="shared" si="16"/>
        <v>903</v>
      </c>
      <c r="P576">
        <f t="shared" si="17"/>
        <v>12.25</v>
      </c>
    </row>
    <row r="577" spans="1:16" x14ac:dyDescent="0.25">
      <c r="A577">
        <v>2014</v>
      </c>
      <c r="B577" t="s">
        <v>342</v>
      </c>
      <c r="C577" t="s">
        <v>347</v>
      </c>
      <c r="D577" t="s">
        <v>22</v>
      </c>
      <c r="E577">
        <v>3.3</v>
      </c>
      <c r="F577">
        <v>6</v>
      </c>
      <c r="G577" t="s">
        <v>33</v>
      </c>
      <c r="H577" t="s">
        <v>143</v>
      </c>
      <c r="I577">
        <v>13</v>
      </c>
      <c r="J577">
        <v>9.1</v>
      </c>
      <c r="K577">
        <v>11.2</v>
      </c>
      <c r="L577">
        <v>25</v>
      </c>
      <c r="M577">
        <v>258</v>
      </c>
      <c r="O577">
        <f t="shared" si="16"/>
        <v>851.4</v>
      </c>
      <c r="P577">
        <f t="shared" si="17"/>
        <v>10.889999999999999</v>
      </c>
    </row>
    <row r="578" spans="1:16" x14ac:dyDescent="0.25">
      <c r="A578">
        <v>2014</v>
      </c>
      <c r="B578" t="s">
        <v>618</v>
      </c>
      <c r="C578" t="s">
        <v>623</v>
      </c>
      <c r="D578" t="s">
        <v>32</v>
      </c>
      <c r="E578">
        <v>3.8</v>
      </c>
      <c r="F578">
        <v>6</v>
      </c>
      <c r="G578" t="s">
        <v>181</v>
      </c>
      <c r="H578" t="s">
        <v>17</v>
      </c>
      <c r="I578">
        <v>12.9</v>
      </c>
      <c r="J578">
        <v>9.1</v>
      </c>
      <c r="K578">
        <v>11.2</v>
      </c>
      <c r="L578">
        <v>25</v>
      </c>
      <c r="M578">
        <v>258</v>
      </c>
      <c r="O578">
        <f t="shared" si="16"/>
        <v>980.4</v>
      </c>
      <c r="P578">
        <f t="shared" si="17"/>
        <v>14.44</v>
      </c>
    </row>
    <row r="579" spans="1:16" x14ac:dyDescent="0.25">
      <c r="A579">
        <v>2014</v>
      </c>
      <c r="B579" t="s">
        <v>681</v>
      </c>
      <c r="C579" t="s">
        <v>684</v>
      </c>
      <c r="D579" t="s">
        <v>15</v>
      </c>
      <c r="E579">
        <v>2.5</v>
      </c>
      <c r="F579">
        <v>4</v>
      </c>
      <c r="G579" t="s">
        <v>126</v>
      </c>
      <c r="H579" t="s">
        <v>17</v>
      </c>
      <c r="I579">
        <v>12.6</v>
      </c>
      <c r="J579">
        <v>9.5</v>
      </c>
      <c r="K579">
        <v>11.2</v>
      </c>
      <c r="L579">
        <v>25</v>
      </c>
      <c r="M579">
        <v>258</v>
      </c>
      <c r="O579">
        <f t="shared" ref="O579:O642" si="18">M579*E579</f>
        <v>645</v>
      </c>
      <c r="P579">
        <f t="shared" ref="P579:P642" si="19">E579*E579</f>
        <v>6.25</v>
      </c>
    </row>
    <row r="580" spans="1:16" x14ac:dyDescent="0.25">
      <c r="A580">
        <v>2014</v>
      </c>
      <c r="B580" t="s">
        <v>681</v>
      </c>
      <c r="C580" t="s">
        <v>685</v>
      </c>
      <c r="D580" t="s">
        <v>59</v>
      </c>
      <c r="E580">
        <v>2.5</v>
      </c>
      <c r="F580">
        <v>4</v>
      </c>
      <c r="G580" t="s">
        <v>126</v>
      </c>
      <c r="H580" t="s">
        <v>17</v>
      </c>
      <c r="I580">
        <v>12.6</v>
      </c>
      <c r="J580">
        <v>9.5</v>
      </c>
      <c r="K580">
        <v>11.2</v>
      </c>
      <c r="L580">
        <v>25</v>
      </c>
      <c r="M580">
        <v>258</v>
      </c>
      <c r="O580">
        <f t="shared" si="18"/>
        <v>645</v>
      </c>
      <c r="P580">
        <f t="shared" si="19"/>
        <v>6.25</v>
      </c>
    </row>
    <row r="581" spans="1:16" x14ac:dyDescent="0.25">
      <c r="A581">
        <v>2014</v>
      </c>
      <c r="B581" t="s">
        <v>691</v>
      </c>
      <c r="C581" t="s">
        <v>703</v>
      </c>
      <c r="D581" t="s">
        <v>22</v>
      </c>
      <c r="E581">
        <v>3.5</v>
      </c>
      <c r="F581">
        <v>6</v>
      </c>
      <c r="G581" t="s">
        <v>23</v>
      </c>
      <c r="H581" t="s">
        <v>143</v>
      </c>
      <c r="I581">
        <v>12.6</v>
      </c>
      <c r="J581">
        <v>9.4</v>
      </c>
      <c r="K581">
        <v>11.2</v>
      </c>
      <c r="L581">
        <v>25</v>
      </c>
      <c r="M581">
        <v>258</v>
      </c>
      <c r="O581">
        <f t="shared" si="18"/>
        <v>903</v>
      </c>
      <c r="P581">
        <f t="shared" si="19"/>
        <v>12.25</v>
      </c>
    </row>
    <row r="582" spans="1:16" x14ac:dyDescent="0.25">
      <c r="A582">
        <v>2014</v>
      </c>
      <c r="B582" t="s">
        <v>743</v>
      </c>
      <c r="C582" t="s">
        <v>748</v>
      </c>
      <c r="D582" t="s">
        <v>22</v>
      </c>
      <c r="E582">
        <v>3.2</v>
      </c>
      <c r="F582">
        <v>6</v>
      </c>
      <c r="G582" t="s">
        <v>23</v>
      </c>
      <c r="H582" t="s">
        <v>143</v>
      </c>
      <c r="I582">
        <v>13</v>
      </c>
      <c r="J582">
        <v>8.9</v>
      </c>
      <c r="K582">
        <v>11.2</v>
      </c>
      <c r="L582">
        <v>25</v>
      </c>
      <c r="M582">
        <v>258</v>
      </c>
      <c r="O582">
        <f t="shared" si="18"/>
        <v>825.6</v>
      </c>
      <c r="P582">
        <f t="shared" si="19"/>
        <v>10.240000000000002</v>
      </c>
    </row>
    <row r="583" spans="1:16" x14ac:dyDescent="0.25">
      <c r="A583">
        <v>2014</v>
      </c>
      <c r="B583" t="s">
        <v>41</v>
      </c>
      <c r="C583" t="s">
        <v>53</v>
      </c>
      <c r="D583" t="s">
        <v>26</v>
      </c>
      <c r="E583">
        <v>4</v>
      </c>
      <c r="F583">
        <v>8</v>
      </c>
      <c r="G583" t="s">
        <v>45</v>
      </c>
      <c r="H583" t="s">
        <v>17</v>
      </c>
      <c r="I583">
        <v>13.5</v>
      </c>
      <c r="J583">
        <v>8.6</v>
      </c>
      <c r="K583">
        <v>11.3</v>
      </c>
      <c r="L583">
        <v>25</v>
      </c>
      <c r="M583">
        <v>260</v>
      </c>
      <c r="O583">
        <f t="shared" si="18"/>
        <v>1040</v>
      </c>
      <c r="P583">
        <f t="shared" si="19"/>
        <v>16</v>
      </c>
    </row>
    <row r="584" spans="1:16" x14ac:dyDescent="0.25">
      <c r="A584">
        <v>2014</v>
      </c>
      <c r="B584" t="s">
        <v>90</v>
      </c>
      <c r="C584" t="s">
        <v>130</v>
      </c>
      <c r="D584" t="s">
        <v>22</v>
      </c>
      <c r="E584">
        <v>3</v>
      </c>
      <c r="F584">
        <v>6</v>
      </c>
      <c r="G584" t="s">
        <v>33</v>
      </c>
      <c r="H584" t="s">
        <v>17</v>
      </c>
      <c r="I584">
        <v>13.2</v>
      </c>
      <c r="J584">
        <v>8.9</v>
      </c>
      <c r="K584">
        <v>11.3</v>
      </c>
      <c r="L584">
        <v>25</v>
      </c>
      <c r="M584">
        <v>260</v>
      </c>
      <c r="O584">
        <f t="shared" si="18"/>
        <v>780</v>
      </c>
      <c r="P584">
        <f t="shared" si="19"/>
        <v>9</v>
      </c>
    </row>
    <row r="585" spans="1:16" x14ac:dyDescent="0.25">
      <c r="A585">
        <v>2014</v>
      </c>
      <c r="B585" t="s">
        <v>155</v>
      </c>
      <c r="C585" t="s">
        <v>157</v>
      </c>
      <c r="D585" t="s">
        <v>15</v>
      </c>
      <c r="E585">
        <v>3.6</v>
      </c>
      <c r="F585">
        <v>6</v>
      </c>
      <c r="G585" t="s">
        <v>23</v>
      </c>
      <c r="H585" t="s">
        <v>143</v>
      </c>
      <c r="I585">
        <v>13.1</v>
      </c>
      <c r="J585">
        <v>9</v>
      </c>
      <c r="K585">
        <v>11.3</v>
      </c>
      <c r="L585">
        <v>25</v>
      </c>
      <c r="M585">
        <v>260</v>
      </c>
      <c r="O585">
        <f t="shared" si="18"/>
        <v>936</v>
      </c>
      <c r="P585">
        <f t="shared" si="19"/>
        <v>12.96</v>
      </c>
    </row>
    <row r="586" spans="1:16" x14ac:dyDescent="0.25">
      <c r="A586">
        <v>2014</v>
      </c>
      <c r="B586" t="s">
        <v>155</v>
      </c>
      <c r="C586" t="s">
        <v>161</v>
      </c>
      <c r="D586" t="s">
        <v>26</v>
      </c>
      <c r="E586">
        <v>3.6</v>
      </c>
      <c r="F586">
        <v>6</v>
      </c>
      <c r="G586" t="s">
        <v>23</v>
      </c>
      <c r="H586" t="s">
        <v>143</v>
      </c>
      <c r="I586">
        <v>13.1</v>
      </c>
      <c r="J586">
        <v>9</v>
      </c>
      <c r="K586">
        <v>11.3</v>
      </c>
      <c r="L586">
        <v>25</v>
      </c>
      <c r="M586">
        <v>260</v>
      </c>
      <c r="O586">
        <f t="shared" si="18"/>
        <v>936</v>
      </c>
      <c r="P586">
        <f t="shared" si="19"/>
        <v>12.96</v>
      </c>
    </row>
    <row r="587" spans="1:16" x14ac:dyDescent="0.25">
      <c r="A587">
        <v>2014</v>
      </c>
      <c r="B587" t="s">
        <v>155</v>
      </c>
      <c r="C587" t="s">
        <v>163</v>
      </c>
      <c r="D587" t="s">
        <v>59</v>
      </c>
      <c r="E587">
        <v>3.6</v>
      </c>
      <c r="F587">
        <v>6</v>
      </c>
      <c r="G587" t="s">
        <v>23</v>
      </c>
      <c r="H587" t="s">
        <v>143</v>
      </c>
      <c r="I587">
        <v>13.3</v>
      </c>
      <c r="J587">
        <v>8.9</v>
      </c>
      <c r="K587">
        <v>11.3</v>
      </c>
      <c r="L587">
        <v>25</v>
      </c>
      <c r="M587">
        <v>260</v>
      </c>
      <c r="O587">
        <f t="shared" si="18"/>
        <v>936</v>
      </c>
      <c r="P587">
        <f t="shared" si="19"/>
        <v>12.96</v>
      </c>
    </row>
    <row r="588" spans="1:16" x14ac:dyDescent="0.25">
      <c r="A588">
        <v>2014</v>
      </c>
      <c r="B588" t="s">
        <v>414</v>
      </c>
      <c r="C588" t="s">
        <v>429</v>
      </c>
      <c r="D588" t="s">
        <v>22</v>
      </c>
      <c r="E588">
        <v>2.4</v>
      </c>
      <c r="F588">
        <v>4</v>
      </c>
      <c r="G588" t="s">
        <v>18</v>
      </c>
      <c r="H588" t="s">
        <v>143</v>
      </c>
      <c r="I588">
        <v>12.9</v>
      </c>
      <c r="J588">
        <v>9.3000000000000007</v>
      </c>
      <c r="K588">
        <v>11.3</v>
      </c>
      <c r="L588">
        <v>25</v>
      </c>
      <c r="M588">
        <v>260</v>
      </c>
      <c r="O588">
        <f t="shared" si="18"/>
        <v>624</v>
      </c>
      <c r="P588">
        <f t="shared" si="19"/>
        <v>5.76</v>
      </c>
    </row>
    <row r="589" spans="1:16" x14ac:dyDescent="0.25">
      <c r="A589">
        <v>2014</v>
      </c>
      <c r="B589" t="s">
        <v>473</v>
      </c>
      <c r="C589" t="s">
        <v>474</v>
      </c>
      <c r="D589" t="s">
        <v>56</v>
      </c>
      <c r="E589">
        <v>3.7</v>
      </c>
      <c r="F589">
        <v>6</v>
      </c>
      <c r="G589" t="s">
        <v>23</v>
      </c>
      <c r="H589" t="s">
        <v>143</v>
      </c>
      <c r="I589">
        <v>13.1</v>
      </c>
      <c r="J589">
        <v>9</v>
      </c>
      <c r="K589">
        <v>11.3</v>
      </c>
      <c r="L589">
        <v>25</v>
      </c>
      <c r="M589">
        <v>260</v>
      </c>
      <c r="O589">
        <f t="shared" si="18"/>
        <v>962</v>
      </c>
      <c r="P589">
        <f t="shared" si="19"/>
        <v>13.690000000000001</v>
      </c>
    </row>
    <row r="590" spans="1:16" x14ac:dyDescent="0.25">
      <c r="A590">
        <v>2014</v>
      </c>
      <c r="B590" t="s">
        <v>506</v>
      </c>
      <c r="C590" t="s">
        <v>546</v>
      </c>
      <c r="D590" t="s">
        <v>22</v>
      </c>
      <c r="E590">
        <v>3.5</v>
      </c>
      <c r="F590">
        <v>6</v>
      </c>
      <c r="G590" t="s">
        <v>360</v>
      </c>
      <c r="H590" t="s">
        <v>17</v>
      </c>
      <c r="I590">
        <v>12.6</v>
      </c>
      <c r="J590">
        <v>9.6</v>
      </c>
      <c r="K590">
        <v>11.3</v>
      </c>
      <c r="L590">
        <v>25</v>
      </c>
      <c r="M590">
        <v>260</v>
      </c>
      <c r="O590">
        <f t="shared" si="18"/>
        <v>910</v>
      </c>
      <c r="P590">
        <f t="shared" si="19"/>
        <v>12.25</v>
      </c>
    </row>
    <row r="591" spans="1:16" x14ac:dyDescent="0.25">
      <c r="A591">
        <v>2014</v>
      </c>
      <c r="B591" t="s">
        <v>593</v>
      </c>
      <c r="C591" t="s">
        <v>598</v>
      </c>
      <c r="D591" t="s">
        <v>599</v>
      </c>
      <c r="E591">
        <v>2.5</v>
      </c>
      <c r="F591">
        <v>4</v>
      </c>
      <c r="G591" t="s">
        <v>126</v>
      </c>
      <c r="H591" t="s">
        <v>143</v>
      </c>
      <c r="I591">
        <v>12.2</v>
      </c>
      <c r="J591">
        <v>10.199999999999999</v>
      </c>
      <c r="K591">
        <v>11.3</v>
      </c>
      <c r="L591">
        <v>25</v>
      </c>
      <c r="M591">
        <v>260</v>
      </c>
      <c r="O591">
        <f t="shared" si="18"/>
        <v>650</v>
      </c>
      <c r="P591">
        <f t="shared" si="19"/>
        <v>6.25</v>
      </c>
    </row>
    <row r="592" spans="1:16" x14ac:dyDescent="0.25">
      <c r="A592">
        <v>2014</v>
      </c>
      <c r="B592" t="s">
        <v>618</v>
      </c>
      <c r="C592" t="s">
        <v>644</v>
      </c>
      <c r="D592" t="s">
        <v>56</v>
      </c>
      <c r="E592">
        <v>3</v>
      </c>
      <c r="F592">
        <v>6</v>
      </c>
      <c r="G592" t="s">
        <v>38</v>
      </c>
      <c r="H592" t="s">
        <v>17</v>
      </c>
      <c r="I592">
        <v>13.4</v>
      </c>
      <c r="J592">
        <v>8.8000000000000007</v>
      </c>
      <c r="K592">
        <v>11.3</v>
      </c>
      <c r="L592">
        <v>25</v>
      </c>
      <c r="M592">
        <v>260</v>
      </c>
      <c r="O592">
        <f t="shared" si="18"/>
        <v>780</v>
      </c>
      <c r="P592">
        <f t="shared" si="19"/>
        <v>9</v>
      </c>
    </row>
    <row r="593" spans="1:16" x14ac:dyDescent="0.25">
      <c r="A593">
        <v>2014</v>
      </c>
      <c r="B593" t="s">
        <v>618</v>
      </c>
      <c r="C593" t="s">
        <v>647</v>
      </c>
      <c r="D593" t="s">
        <v>56</v>
      </c>
      <c r="E593">
        <v>3</v>
      </c>
      <c r="F593">
        <v>6</v>
      </c>
      <c r="G593" t="s">
        <v>38</v>
      </c>
      <c r="H593" t="s">
        <v>17</v>
      </c>
      <c r="I593">
        <v>13.4</v>
      </c>
      <c r="J593">
        <v>8.8000000000000007</v>
      </c>
      <c r="K593">
        <v>11.3</v>
      </c>
      <c r="L593">
        <v>25</v>
      </c>
      <c r="M593">
        <v>260</v>
      </c>
      <c r="O593">
        <f t="shared" si="18"/>
        <v>780</v>
      </c>
      <c r="P593">
        <f t="shared" si="19"/>
        <v>9</v>
      </c>
    </row>
    <row r="594" spans="1:16" x14ac:dyDescent="0.25">
      <c r="A594">
        <v>2014</v>
      </c>
      <c r="B594" t="s">
        <v>650</v>
      </c>
      <c r="C594" t="s">
        <v>657</v>
      </c>
      <c r="D594" t="s">
        <v>202</v>
      </c>
      <c r="E594">
        <v>3.6</v>
      </c>
      <c r="F594">
        <v>6</v>
      </c>
      <c r="G594" t="s">
        <v>53</v>
      </c>
      <c r="H594" t="s">
        <v>143</v>
      </c>
      <c r="I594">
        <v>12.9</v>
      </c>
      <c r="J594">
        <v>9.3000000000000007</v>
      </c>
      <c r="K594">
        <v>11.3</v>
      </c>
      <c r="L594">
        <v>25</v>
      </c>
      <c r="M594">
        <v>260</v>
      </c>
      <c r="O594">
        <f t="shared" si="18"/>
        <v>936</v>
      </c>
      <c r="P594">
        <f t="shared" si="19"/>
        <v>12.96</v>
      </c>
    </row>
    <row r="595" spans="1:16" x14ac:dyDescent="0.25">
      <c r="A595">
        <v>2014</v>
      </c>
      <c r="B595" t="s">
        <v>691</v>
      </c>
      <c r="C595" t="s">
        <v>714</v>
      </c>
      <c r="D595" t="s">
        <v>231</v>
      </c>
      <c r="E595">
        <v>3.5</v>
      </c>
      <c r="F595">
        <v>6</v>
      </c>
      <c r="G595" t="s">
        <v>23</v>
      </c>
      <c r="H595" t="s">
        <v>143</v>
      </c>
      <c r="I595">
        <v>12.9</v>
      </c>
      <c r="J595">
        <v>9.4</v>
      </c>
      <c r="K595">
        <v>11.3</v>
      </c>
      <c r="L595">
        <v>25</v>
      </c>
      <c r="M595">
        <v>260</v>
      </c>
      <c r="O595">
        <f t="shared" si="18"/>
        <v>910</v>
      </c>
      <c r="P595">
        <f t="shared" si="19"/>
        <v>12.25</v>
      </c>
    </row>
    <row r="596" spans="1:16" x14ac:dyDescent="0.25">
      <c r="A596">
        <v>2014</v>
      </c>
      <c r="B596" t="s">
        <v>691</v>
      </c>
      <c r="C596" t="s">
        <v>721</v>
      </c>
      <c r="D596" t="s">
        <v>22</v>
      </c>
      <c r="E596">
        <v>3.5</v>
      </c>
      <c r="F596">
        <v>6</v>
      </c>
      <c r="G596" t="s">
        <v>23</v>
      </c>
      <c r="H596" t="s">
        <v>143</v>
      </c>
      <c r="I596">
        <v>12.9</v>
      </c>
      <c r="J596">
        <v>9.4</v>
      </c>
      <c r="K596">
        <v>11.3</v>
      </c>
      <c r="L596">
        <v>25</v>
      </c>
      <c r="M596">
        <v>260</v>
      </c>
      <c r="O596">
        <f t="shared" si="18"/>
        <v>910</v>
      </c>
      <c r="P596">
        <f t="shared" si="19"/>
        <v>12.25</v>
      </c>
    </row>
    <row r="597" spans="1:16" x14ac:dyDescent="0.25">
      <c r="A597">
        <v>2014</v>
      </c>
      <c r="B597" t="s">
        <v>743</v>
      </c>
      <c r="C597" t="s">
        <v>750</v>
      </c>
      <c r="D597" t="s">
        <v>22</v>
      </c>
      <c r="E597">
        <v>3.2</v>
      </c>
      <c r="F597">
        <v>6</v>
      </c>
      <c r="G597" t="s">
        <v>23</v>
      </c>
      <c r="H597" t="s">
        <v>143</v>
      </c>
      <c r="I597">
        <v>12.9</v>
      </c>
      <c r="J597">
        <v>9.3000000000000007</v>
      </c>
      <c r="K597">
        <v>11.3</v>
      </c>
      <c r="L597">
        <v>25</v>
      </c>
      <c r="M597">
        <v>260</v>
      </c>
      <c r="O597">
        <f t="shared" si="18"/>
        <v>832</v>
      </c>
      <c r="P597">
        <f t="shared" si="19"/>
        <v>10.240000000000002</v>
      </c>
    </row>
    <row r="598" spans="1:16" x14ac:dyDescent="0.25">
      <c r="A598">
        <v>2014</v>
      </c>
      <c r="B598" t="s">
        <v>41</v>
      </c>
      <c r="C598" t="s">
        <v>72</v>
      </c>
      <c r="D598" t="s">
        <v>15</v>
      </c>
      <c r="E598">
        <v>3</v>
      </c>
      <c r="F598">
        <v>6</v>
      </c>
      <c r="G598" t="s">
        <v>67</v>
      </c>
      <c r="H598" t="s">
        <v>17</v>
      </c>
      <c r="I598">
        <v>13.2</v>
      </c>
      <c r="J598">
        <v>9.1999999999999993</v>
      </c>
      <c r="K598">
        <v>11.4</v>
      </c>
      <c r="L598">
        <v>25</v>
      </c>
      <c r="M598">
        <v>262</v>
      </c>
      <c r="O598">
        <f t="shared" si="18"/>
        <v>786</v>
      </c>
      <c r="P598">
        <f t="shared" si="19"/>
        <v>9</v>
      </c>
    </row>
    <row r="599" spans="1:16" x14ac:dyDescent="0.25">
      <c r="A599">
        <v>2014</v>
      </c>
      <c r="B599" t="s">
        <v>41</v>
      </c>
      <c r="C599" t="s">
        <v>73</v>
      </c>
      <c r="D599" t="s">
        <v>35</v>
      </c>
      <c r="E599">
        <v>3</v>
      </c>
      <c r="F599">
        <v>6</v>
      </c>
      <c r="G599" t="s">
        <v>67</v>
      </c>
      <c r="H599" t="s">
        <v>17</v>
      </c>
      <c r="I599">
        <v>13.2</v>
      </c>
      <c r="J599">
        <v>9.1999999999999993</v>
      </c>
      <c r="K599">
        <v>11.4</v>
      </c>
      <c r="L599">
        <v>25</v>
      </c>
      <c r="M599">
        <v>262</v>
      </c>
      <c r="O599">
        <f t="shared" si="18"/>
        <v>786</v>
      </c>
      <c r="P599">
        <f t="shared" si="19"/>
        <v>9</v>
      </c>
    </row>
    <row r="600" spans="1:16" x14ac:dyDescent="0.25">
      <c r="A600">
        <v>2014</v>
      </c>
      <c r="B600" t="s">
        <v>155</v>
      </c>
      <c r="C600" t="s">
        <v>159</v>
      </c>
      <c r="D600" t="s">
        <v>26</v>
      </c>
      <c r="E600">
        <v>3.6</v>
      </c>
      <c r="F600">
        <v>6</v>
      </c>
      <c r="G600" t="s">
        <v>23</v>
      </c>
      <c r="H600" t="s">
        <v>143</v>
      </c>
      <c r="I600">
        <v>13.3</v>
      </c>
      <c r="J600">
        <v>9</v>
      </c>
      <c r="K600">
        <v>11.4</v>
      </c>
      <c r="L600">
        <v>25</v>
      </c>
      <c r="M600">
        <v>262</v>
      </c>
      <c r="O600">
        <f t="shared" si="18"/>
        <v>943.2</v>
      </c>
      <c r="P600">
        <f t="shared" si="19"/>
        <v>12.96</v>
      </c>
    </row>
    <row r="601" spans="1:16" x14ac:dyDescent="0.25">
      <c r="A601">
        <v>2014</v>
      </c>
      <c r="B601" t="s">
        <v>155</v>
      </c>
      <c r="C601" t="s">
        <v>164</v>
      </c>
      <c r="D601" t="s">
        <v>59</v>
      </c>
      <c r="E601">
        <v>3.6</v>
      </c>
      <c r="F601">
        <v>6</v>
      </c>
      <c r="G601" t="s">
        <v>23</v>
      </c>
      <c r="H601" t="s">
        <v>143</v>
      </c>
      <c r="I601">
        <v>13.3</v>
      </c>
      <c r="J601">
        <v>9</v>
      </c>
      <c r="K601">
        <v>11.4</v>
      </c>
      <c r="L601">
        <v>25</v>
      </c>
      <c r="M601">
        <v>262</v>
      </c>
      <c r="O601">
        <f t="shared" si="18"/>
        <v>943.2</v>
      </c>
      <c r="P601">
        <f t="shared" si="19"/>
        <v>12.96</v>
      </c>
    </row>
    <row r="602" spans="1:16" x14ac:dyDescent="0.25">
      <c r="A602">
        <v>2014</v>
      </c>
      <c r="B602" t="s">
        <v>155</v>
      </c>
      <c r="C602" t="s">
        <v>172</v>
      </c>
      <c r="D602" t="s">
        <v>56</v>
      </c>
      <c r="E602">
        <v>3.6</v>
      </c>
      <c r="F602">
        <v>6</v>
      </c>
      <c r="G602" t="s">
        <v>23</v>
      </c>
      <c r="H602" t="s">
        <v>143</v>
      </c>
      <c r="I602">
        <v>13.6</v>
      </c>
      <c r="J602">
        <v>8.6</v>
      </c>
      <c r="K602">
        <v>11.4</v>
      </c>
      <c r="L602">
        <v>25</v>
      </c>
      <c r="M602">
        <v>262</v>
      </c>
      <c r="O602">
        <f t="shared" si="18"/>
        <v>943.2</v>
      </c>
      <c r="P602">
        <f t="shared" si="19"/>
        <v>12.96</v>
      </c>
    </row>
    <row r="603" spans="1:16" x14ac:dyDescent="0.25">
      <c r="A603">
        <v>2014</v>
      </c>
      <c r="B603" t="s">
        <v>414</v>
      </c>
      <c r="C603" t="s">
        <v>425</v>
      </c>
      <c r="D603" t="s">
        <v>22</v>
      </c>
      <c r="E603">
        <v>3.3</v>
      </c>
      <c r="F603">
        <v>6</v>
      </c>
      <c r="G603" t="s">
        <v>33</v>
      </c>
      <c r="H603" t="s">
        <v>143</v>
      </c>
      <c r="I603">
        <v>12.9</v>
      </c>
      <c r="J603">
        <v>9.5</v>
      </c>
      <c r="K603">
        <v>11.4</v>
      </c>
      <c r="L603">
        <v>25</v>
      </c>
      <c r="M603">
        <v>262</v>
      </c>
      <c r="O603">
        <f t="shared" si="18"/>
        <v>864.59999999999991</v>
      </c>
      <c r="P603">
        <f t="shared" si="19"/>
        <v>10.889999999999999</v>
      </c>
    </row>
    <row r="604" spans="1:16" x14ac:dyDescent="0.25">
      <c r="A604">
        <v>2014</v>
      </c>
      <c r="B604" t="s">
        <v>414</v>
      </c>
      <c r="C604" t="s">
        <v>430</v>
      </c>
      <c r="D604" t="s">
        <v>22</v>
      </c>
      <c r="E604">
        <v>2</v>
      </c>
      <c r="F604">
        <v>4</v>
      </c>
      <c r="G604" t="s">
        <v>33</v>
      </c>
      <c r="H604" t="s">
        <v>143</v>
      </c>
      <c r="I604">
        <v>12.7</v>
      </c>
      <c r="J604">
        <v>9.6999999999999993</v>
      </c>
      <c r="K604">
        <v>11.4</v>
      </c>
      <c r="L604">
        <v>25</v>
      </c>
      <c r="M604">
        <v>262</v>
      </c>
      <c r="O604">
        <f t="shared" si="18"/>
        <v>524</v>
      </c>
      <c r="P604">
        <f t="shared" si="19"/>
        <v>4</v>
      </c>
    </row>
    <row r="605" spans="1:16" x14ac:dyDescent="0.25">
      <c r="A605">
        <v>2014</v>
      </c>
      <c r="B605" t="s">
        <v>450</v>
      </c>
      <c r="C605" t="s">
        <v>469</v>
      </c>
      <c r="D605" t="s">
        <v>26</v>
      </c>
      <c r="E605">
        <v>5</v>
      </c>
      <c r="F605">
        <v>8</v>
      </c>
      <c r="G605" t="s">
        <v>43</v>
      </c>
      <c r="H605" t="s">
        <v>17</v>
      </c>
      <c r="I605">
        <v>12</v>
      </c>
      <c r="J605">
        <v>10.7</v>
      </c>
      <c r="K605">
        <v>11.4</v>
      </c>
      <c r="L605">
        <v>25</v>
      </c>
      <c r="M605">
        <v>262</v>
      </c>
      <c r="O605">
        <f t="shared" si="18"/>
        <v>1310</v>
      </c>
      <c r="P605">
        <f t="shared" si="19"/>
        <v>25</v>
      </c>
    </row>
    <row r="606" spans="1:16" x14ac:dyDescent="0.25">
      <c r="A606">
        <v>2014</v>
      </c>
      <c r="B606" t="s">
        <v>473</v>
      </c>
      <c r="C606" t="s">
        <v>480</v>
      </c>
      <c r="D606" t="s">
        <v>26</v>
      </c>
      <c r="E606">
        <v>3.7</v>
      </c>
      <c r="F606">
        <v>6</v>
      </c>
      <c r="G606" t="s">
        <v>23</v>
      </c>
      <c r="H606" t="s">
        <v>143</v>
      </c>
      <c r="I606">
        <v>13.1</v>
      </c>
      <c r="J606">
        <v>9.3000000000000007</v>
      </c>
      <c r="K606">
        <v>11.4</v>
      </c>
      <c r="L606">
        <v>25</v>
      </c>
      <c r="M606">
        <v>262</v>
      </c>
      <c r="O606">
        <f t="shared" si="18"/>
        <v>969.40000000000009</v>
      </c>
      <c r="P606">
        <f t="shared" si="19"/>
        <v>13.690000000000001</v>
      </c>
    </row>
    <row r="607" spans="1:16" x14ac:dyDescent="0.25">
      <c r="A607">
        <v>2014</v>
      </c>
      <c r="B607" t="s">
        <v>506</v>
      </c>
      <c r="C607" t="s">
        <v>534</v>
      </c>
      <c r="D607" t="s">
        <v>35</v>
      </c>
      <c r="E607">
        <v>4.7</v>
      </c>
      <c r="F607">
        <v>8</v>
      </c>
      <c r="G607" t="s">
        <v>360</v>
      </c>
      <c r="H607" t="s">
        <v>17</v>
      </c>
      <c r="I607">
        <v>13.4</v>
      </c>
      <c r="J607">
        <v>8.9</v>
      </c>
      <c r="K607">
        <v>11.4</v>
      </c>
      <c r="L607">
        <v>25</v>
      </c>
      <c r="M607">
        <v>262</v>
      </c>
      <c r="O607">
        <f t="shared" si="18"/>
        <v>1231.4000000000001</v>
      </c>
      <c r="P607">
        <f t="shared" si="19"/>
        <v>22.090000000000003</v>
      </c>
    </row>
    <row r="608" spans="1:16" x14ac:dyDescent="0.25">
      <c r="A608">
        <v>2014</v>
      </c>
      <c r="B608" t="s">
        <v>593</v>
      </c>
      <c r="C608" t="s">
        <v>595</v>
      </c>
      <c r="D608" t="s">
        <v>37</v>
      </c>
      <c r="E608">
        <v>3.7</v>
      </c>
      <c r="F608">
        <v>6</v>
      </c>
      <c r="G608" t="s">
        <v>360</v>
      </c>
      <c r="H608" t="s">
        <v>17</v>
      </c>
      <c r="I608">
        <v>13</v>
      </c>
      <c r="J608">
        <v>9.5</v>
      </c>
      <c r="K608">
        <v>11.4</v>
      </c>
      <c r="L608">
        <v>25</v>
      </c>
      <c r="M608">
        <v>262</v>
      </c>
      <c r="O608">
        <f t="shared" si="18"/>
        <v>969.40000000000009</v>
      </c>
      <c r="P608">
        <f t="shared" si="19"/>
        <v>13.690000000000001</v>
      </c>
    </row>
    <row r="609" spans="1:16" x14ac:dyDescent="0.25">
      <c r="A609">
        <v>2014</v>
      </c>
      <c r="B609" t="s">
        <v>650</v>
      </c>
      <c r="C609" t="s">
        <v>658</v>
      </c>
      <c r="D609" t="s">
        <v>231</v>
      </c>
      <c r="E609">
        <v>3.6</v>
      </c>
      <c r="F609">
        <v>6</v>
      </c>
      <c r="G609" t="s">
        <v>33</v>
      </c>
      <c r="H609" t="s">
        <v>143</v>
      </c>
      <c r="I609">
        <v>13.3</v>
      </c>
      <c r="J609">
        <v>9.1</v>
      </c>
      <c r="K609">
        <v>11.4</v>
      </c>
      <c r="L609">
        <v>25</v>
      </c>
      <c r="M609">
        <v>262</v>
      </c>
      <c r="O609">
        <f t="shared" si="18"/>
        <v>943.2</v>
      </c>
      <c r="P609">
        <f t="shared" si="19"/>
        <v>12.96</v>
      </c>
    </row>
    <row r="610" spans="1:16" x14ac:dyDescent="0.25">
      <c r="A610">
        <v>2014</v>
      </c>
      <c r="B610" t="s">
        <v>141</v>
      </c>
      <c r="C610" t="s">
        <v>147</v>
      </c>
      <c r="D610" t="s">
        <v>26</v>
      </c>
      <c r="E610">
        <v>3.6</v>
      </c>
      <c r="F610">
        <v>6</v>
      </c>
      <c r="G610" t="s">
        <v>23</v>
      </c>
      <c r="H610" t="s">
        <v>143</v>
      </c>
      <c r="I610">
        <v>13.7</v>
      </c>
      <c r="J610">
        <v>8.6999999999999993</v>
      </c>
      <c r="K610">
        <v>11.5</v>
      </c>
      <c r="L610">
        <v>25</v>
      </c>
      <c r="M610">
        <v>264</v>
      </c>
      <c r="O610">
        <f t="shared" si="18"/>
        <v>950.4</v>
      </c>
      <c r="P610">
        <f t="shared" si="19"/>
        <v>12.96</v>
      </c>
    </row>
    <row r="611" spans="1:16" x14ac:dyDescent="0.25">
      <c r="A611">
        <v>2014</v>
      </c>
      <c r="B611" t="s">
        <v>141</v>
      </c>
      <c r="C611" t="s">
        <v>149</v>
      </c>
      <c r="D611" t="s">
        <v>26</v>
      </c>
      <c r="E611">
        <v>3.6</v>
      </c>
      <c r="F611">
        <v>6</v>
      </c>
      <c r="G611" t="s">
        <v>23</v>
      </c>
      <c r="H611" t="s">
        <v>143</v>
      </c>
      <c r="I611">
        <v>13.7</v>
      </c>
      <c r="J611">
        <v>8.9</v>
      </c>
      <c r="K611">
        <v>11.5</v>
      </c>
      <c r="L611">
        <v>25</v>
      </c>
      <c r="M611">
        <v>264</v>
      </c>
      <c r="O611">
        <f t="shared" si="18"/>
        <v>950.4</v>
      </c>
      <c r="P611">
        <f t="shared" si="19"/>
        <v>12.96</v>
      </c>
    </row>
    <row r="612" spans="1:16" x14ac:dyDescent="0.25">
      <c r="A612">
        <v>2014</v>
      </c>
      <c r="B612" t="s">
        <v>265</v>
      </c>
      <c r="C612" t="s">
        <v>272</v>
      </c>
      <c r="D612" t="s">
        <v>22</v>
      </c>
      <c r="E612">
        <v>3.5</v>
      </c>
      <c r="F612">
        <v>6</v>
      </c>
      <c r="G612" t="s">
        <v>23</v>
      </c>
      <c r="H612" t="s">
        <v>143</v>
      </c>
      <c r="I612">
        <v>13.3</v>
      </c>
      <c r="J612">
        <v>9.3000000000000007</v>
      </c>
      <c r="K612">
        <v>11.5</v>
      </c>
      <c r="L612">
        <v>25</v>
      </c>
      <c r="M612">
        <v>264</v>
      </c>
      <c r="O612">
        <f t="shared" si="18"/>
        <v>924</v>
      </c>
      <c r="P612">
        <f t="shared" si="19"/>
        <v>12.25</v>
      </c>
    </row>
    <row r="613" spans="1:16" x14ac:dyDescent="0.25">
      <c r="A613">
        <v>2014</v>
      </c>
      <c r="B613" t="s">
        <v>265</v>
      </c>
      <c r="C613" t="s">
        <v>288</v>
      </c>
      <c r="D613" t="s">
        <v>64</v>
      </c>
      <c r="E613">
        <v>3.5</v>
      </c>
      <c r="F613">
        <v>6</v>
      </c>
      <c r="G613" t="s">
        <v>23</v>
      </c>
      <c r="H613" t="s">
        <v>143</v>
      </c>
      <c r="I613">
        <v>13.2</v>
      </c>
      <c r="J613">
        <v>9.4</v>
      </c>
      <c r="K613">
        <v>11.5</v>
      </c>
      <c r="L613">
        <v>25</v>
      </c>
      <c r="M613">
        <v>264</v>
      </c>
      <c r="O613">
        <f t="shared" si="18"/>
        <v>924</v>
      </c>
      <c r="P613">
        <f t="shared" si="19"/>
        <v>12.25</v>
      </c>
    </row>
    <row r="614" spans="1:16" x14ac:dyDescent="0.25">
      <c r="A614">
        <v>2014</v>
      </c>
      <c r="B614" t="s">
        <v>265</v>
      </c>
      <c r="C614" t="s">
        <v>298</v>
      </c>
      <c r="D614" t="s">
        <v>35</v>
      </c>
      <c r="E614">
        <v>5</v>
      </c>
      <c r="F614">
        <v>8</v>
      </c>
      <c r="G614" t="s">
        <v>33</v>
      </c>
      <c r="H614" t="s">
        <v>143</v>
      </c>
      <c r="I614">
        <v>13.3</v>
      </c>
      <c r="J614">
        <v>9.3000000000000007</v>
      </c>
      <c r="K614">
        <v>11.5</v>
      </c>
      <c r="L614">
        <v>25</v>
      </c>
      <c r="M614">
        <v>264</v>
      </c>
      <c r="O614">
        <f t="shared" si="18"/>
        <v>1320</v>
      </c>
      <c r="P614">
        <f t="shared" si="19"/>
        <v>25</v>
      </c>
    </row>
    <row r="615" spans="1:16" x14ac:dyDescent="0.25">
      <c r="A615">
        <v>2014</v>
      </c>
      <c r="B615" t="s">
        <v>329</v>
      </c>
      <c r="C615" t="s">
        <v>339</v>
      </c>
      <c r="D615" t="s">
        <v>22</v>
      </c>
      <c r="E615">
        <v>3.5</v>
      </c>
      <c r="F615">
        <v>6</v>
      </c>
      <c r="G615" t="s">
        <v>224</v>
      </c>
      <c r="H615" t="s">
        <v>143</v>
      </c>
      <c r="I615">
        <v>13.3</v>
      </c>
      <c r="J615">
        <v>9.3000000000000007</v>
      </c>
      <c r="K615">
        <v>11.5</v>
      </c>
      <c r="L615">
        <v>25</v>
      </c>
      <c r="M615">
        <v>265</v>
      </c>
      <c r="O615">
        <f t="shared" si="18"/>
        <v>927.5</v>
      </c>
      <c r="P615">
        <f t="shared" si="19"/>
        <v>12.25</v>
      </c>
    </row>
    <row r="616" spans="1:16" x14ac:dyDescent="0.25">
      <c r="A616">
        <v>2014</v>
      </c>
      <c r="B616" t="s">
        <v>342</v>
      </c>
      <c r="C616" t="s">
        <v>350</v>
      </c>
      <c r="D616" t="s">
        <v>22</v>
      </c>
      <c r="E616">
        <v>2</v>
      </c>
      <c r="F616">
        <v>4</v>
      </c>
      <c r="G616" t="s">
        <v>33</v>
      </c>
      <c r="H616" t="s">
        <v>143</v>
      </c>
      <c r="I616">
        <v>12.9</v>
      </c>
      <c r="J616">
        <v>9.6999999999999993</v>
      </c>
      <c r="K616">
        <v>11.5</v>
      </c>
      <c r="L616">
        <v>25</v>
      </c>
      <c r="M616">
        <v>264</v>
      </c>
      <c r="O616">
        <f t="shared" si="18"/>
        <v>528</v>
      </c>
      <c r="P616">
        <f t="shared" si="19"/>
        <v>4</v>
      </c>
    </row>
    <row r="617" spans="1:16" x14ac:dyDescent="0.25">
      <c r="A617">
        <v>2014</v>
      </c>
      <c r="B617" t="s">
        <v>358</v>
      </c>
      <c r="C617" t="s">
        <v>364</v>
      </c>
      <c r="D617" t="s">
        <v>35</v>
      </c>
      <c r="E617">
        <v>3.7</v>
      </c>
      <c r="F617">
        <v>6</v>
      </c>
      <c r="G617" t="s">
        <v>360</v>
      </c>
      <c r="H617" t="s">
        <v>17</v>
      </c>
      <c r="I617">
        <v>13.3</v>
      </c>
      <c r="J617">
        <v>9.4</v>
      </c>
      <c r="K617">
        <v>11.5</v>
      </c>
      <c r="L617">
        <v>25</v>
      </c>
      <c r="M617">
        <v>265</v>
      </c>
      <c r="O617">
        <f t="shared" si="18"/>
        <v>980.5</v>
      </c>
      <c r="P617">
        <f t="shared" si="19"/>
        <v>13.690000000000001</v>
      </c>
    </row>
    <row r="618" spans="1:16" x14ac:dyDescent="0.25">
      <c r="A618">
        <v>2014</v>
      </c>
      <c r="B618" t="s">
        <v>506</v>
      </c>
      <c r="C618" t="s">
        <v>521</v>
      </c>
      <c r="D618" t="s">
        <v>15</v>
      </c>
      <c r="E618">
        <v>4.7</v>
      </c>
      <c r="F618">
        <v>8</v>
      </c>
      <c r="G618" t="s">
        <v>360</v>
      </c>
      <c r="H618" t="s">
        <v>17</v>
      </c>
      <c r="I618">
        <v>13.3</v>
      </c>
      <c r="J618">
        <v>9.4</v>
      </c>
      <c r="K618">
        <v>11.5</v>
      </c>
      <c r="L618">
        <v>25</v>
      </c>
      <c r="M618">
        <v>264</v>
      </c>
      <c r="O618">
        <f t="shared" si="18"/>
        <v>1240.8</v>
      </c>
      <c r="P618">
        <f t="shared" si="19"/>
        <v>22.090000000000003</v>
      </c>
    </row>
    <row r="619" spans="1:16" x14ac:dyDescent="0.25">
      <c r="A619">
        <v>2014</v>
      </c>
      <c r="B619" t="s">
        <v>593</v>
      </c>
      <c r="C619" t="s">
        <v>594</v>
      </c>
      <c r="D619" t="s">
        <v>37</v>
      </c>
      <c r="E619">
        <v>3.7</v>
      </c>
      <c r="F619">
        <v>6</v>
      </c>
      <c r="G619" t="s">
        <v>18</v>
      </c>
      <c r="H619" t="s">
        <v>17</v>
      </c>
      <c r="I619">
        <v>13.3</v>
      </c>
      <c r="J619">
        <v>9.3000000000000007</v>
      </c>
      <c r="K619">
        <v>11.5</v>
      </c>
      <c r="L619">
        <v>25</v>
      </c>
      <c r="M619">
        <v>264</v>
      </c>
      <c r="O619">
        <f t="shared" si="18"/>
        <v>976.80000000000007</v>
      </c>
      <c r="P619">
        <f t="shared" si="19"/>
        <v>13.690000000000001</v>
      </c>
    </row>
    <row r="620" spans="1:16" x14ac:dyDescent="0.25">
      <c r="A620">
        <v>2014</v>
      </c>
      <c r="B620" t="s">
        <v>618</v>
      </c>
      <c r="C620" t="s">
        <v>645</v>
      </c>
      <c r="D620" t="s">
        <v>56</v>
      </c>
      <c r="E620">
        <v>3</v>
      </c>
      <c r="F620">
        <v>6</v>
      </c>
      <c r="G620" t="s">
        <v>38</v>
      </c>
      <c r="H620" t="s">
        <v>17</v>
      </c>
      <c r="I620">
        <v>13.7</v>
      </c>
      <c r="J620">
        <v>8.9</v>
      </c>
      <c r="K620">
        <v>11.5</v>
      </c>
      <c r="L620">
        <v>25</v>
      </c>
      <c r="M620">
        <v>264</v>
      </c>
      <c r="O620">
        <f t="shared" si="18"/>
        <v>792</v>
      </c>
      <c r="P620">
        <f t="shared" si="19"/>
        <v>9</v>
      </c>
    </row>
    <row r="621" spans="1:16" x14ac:dyDescent="0.25">
      <c r="A621">
        <v>2014</v>
      </c>
      <c r="B621" t="s">
        <v>691</v>
      </c>
      <c r="C621" t="s">
        <v>704</v>
      </c>
      <c r="D621" t="s">
        <v>64</v>
      </c>
      <c r="E621">
        <v>3.5</v>
      </c>
      <c r="F621">
        <v>6</v>
      </c>
      <c r="G621" t="s">
        <v>23</v>
      </c>
      <c r="H621" t="s">
        <v>143</v>
      </c>
      <c r="I621">
        <v>13</v>
      </c>
      <c r="J621">
        <v>9.6999999999999993</v>
      </c>
      <c r="K621">
        <v>11.5</v>
      </c>
      <c r="L621">
        <v>25</v>
      </c>
      <c r="M621">
        <v>264</v>
      </c>
      <c r="O621">
        <f t="shared" si="18"/>
        <v>924</v>
      </c>
      <c r="P621">
        <f t="shared" si="19"/>
        <v>12.25</v>
      </c>
    </row>
    <row r="622" spans="1:16" x14ac:dyDescent="0.25">
      <c r="A622">
        <v>2014</v>
      </c>
      <c r="B622" t="s">
        <v>743</v>
      </c>
      <c r="C622" t="s">
        <v>745</v>
      </c>
      <c r="D622" t="s">
        <v>15</v>
      </c>
      <c r="E622">
        <v>3</v>
      </c>
      <c r="F622">
        <v>6</v>
      </c>
      <c r="G622" t="s">
        <v>23</v>
      </c>
      <c r="H622" t="s">
        <v>143</v>
      </c>
      <c r="I622">
        <v>13.2</v>
      </c>
      <c r="J622">
        <v>9.5</v>
      </c>
      <c r="K622">
        <v>11.5</v>
      </c>
      <c r="L622">
        <v>25</v>
      </c>
      <c r="M622">
        <v>264</v>
      </c>
      <c r="O622">
        <f t="shared" si="18"/>
        <v>792</v>
      </c>
      <c r="P622">
        <f t="shared" si="19"/>
        <v>9</v>
      </c>
    </row>
    <row r="623" spans="1:16" x14ac:dyDescent="0.25">
      <c r="A623">
        <v>2014</v>
      </c>
      <c r="B623" t="s">
        <v>743</v>
      </c>
      <c r="C623" t="s">
        <v>747</v>
      </c>
      <c r="D623" t="s">
        <v>26</v>
      </c>
      <c r="E623">
        <v>3</v>
      </c>
      <c r="F623">
        <v>6</v>
      </c>
      <c r="G623" t="s">
        <v>23</v>
      </c>
      <c r="H623" t="s">
        <v>143</v>
      </c>
      <c r="I623">
        <v>13.2</v>
      </c>
      <c r="J623">
        <v>9.5</v>
      </c>
      <c r="K623">
        <v>11.5</v>
      </c>
      <c r="L623">
        <v>25</v>
      </c>
      <c r="M623">
        <v>264</v>
      </c>
      <c r="O623">
        <f t="shared" si="18"/>
        <v>792</v>
      </c>
      <c r="P623">
        <f t="shared" si="19"/>
        <v>9</v>
      </c>
    </row>
    <row r="624" spans="1:16" x14ac:dyDescent="0.25">
      <c r="A624">
        <v>2014</v>
      </c>
      <c r="B624" t="s">
        <v>743</v>
      </c>
      <c r="C624" t="s">
        <v>749</v>
      </c>
      <c r="D624" t="s">
        <v>22</v>
      </c>
      <c r="E624">
        <v>3.2</v>
      </c>
      <c r="F624">
        <v>6</v>
      </c>
      <c r="G624" t="s">
        <v>23</v>
      </c>
      <c r="H624" t="s">
        <v>143</v>
      </c>
      <c r="I624">
        <v>13.2</v>
      </c>
      <c r="J624">
        <v>9.5</v>
      </c>
      <c r="K624">
        <v>11.5</v>
      </c>
      <c r="L624">
        <v>25</v>
      </c>
      <c r="M624">
        <v>264</v>
      </c>
      <c r="O624">
        <f t="shared" si="18"/>
        <v>844.80000000000007</v>
      </c>
      <c r="P624">
        <f t="shared" si="19"/>
        <v>10.240000000000002</v>
      </c>
    </row>
    <row r="625" spans="1:16" x14ac:dyDescent="0.25">
      <c r="A625">
        <v>2014</v>
      </c>
      <c r="B625" t="s">
        <v>13</v>
      </c>
      <c r="C625" t="s">
        <v>28</v>
      </c>
      <c r="D625" t="s">
        <v>26</v>
      </c>
      <c r="E625">
        <v>3.7</v>
      </c>
      <c r="F625">
        <v>6</v>
      </c>
      <c r="G625" t="s">
        <v>18</v>
      </c>
      <c r="H625" t="s">
        <v>17</v>
      </c>
      <c r="I625">
        <v>13.4</v>
      </c>
      <c r="J625">
        <v>9.5</v>
      </c>
      <c r="K625">
        <v>11.6</v>
      </c>
      <c r="L625">
        <v>24</v>
      </c>
      <c r="M625">
        <v>267</v>
      </c>
      <c r="O625">
        <f t="shared" si="18"/>
        <v>987.90000000000009</v>
      </c>
      <c r="P625">
        <f t="shared" si="19"/>
        <v>13.690000000000001</v>
      </c>
    </row>
    <row r="626" spans="1:16" x14ac:dyDescent="0.25">
      <c r="A626">
        <v>2014</v>
      </c>
      <c r="B626" t="s">
        <v>41</v>
      </c>
      <c r="C626" t="s">
        <v>74</v>
      </c>
      <c r="D626" t="s">
        <v>35</v>
      </c>
      <c r="E626">
        <v>3</v>
      </c>
      <c r="F626">
        <v>6</v>
      </c>
      <c r="G626" t="s">
        <v>67</v>
      </c>
      <c r="H626" t="s">
        <v>17</v>
      </c>
      <c r="I626">
        <v>13.3</v>
      </c>
      <c r="J626">
        <v>9.5</v>
      </c>
      <c r="K626">
        <v>11.6</v>
      </c>
      <c r="L626">
        <v>24</v>
      </c>
      <c r="M626">
        <v>267</v>
      </c>
      <c r="O626">
        <f t="shared" si="18"/>
        <v>801</v>
      </c>
      <c r="P626">
        <f t="shared" si="19"/>
        <v>9</v>
      </c>
    </row>
    <row r="627" spans="1:16" x14ac:dyDescent="0.25">
      <c r="A627">
        <v>2014</v>
      </c>
      <c r="B627" t="s">
        <v>342</v>
      </c>
      <c r="C627" t="s">
        <v>348</v>
      </c>
      <c r="D627" t="s">
        <v>22</v>
      </c>
      <c r="E627">
        <v>3.3</v>
      </c>
      <c r="F627">
        <v>6</v>
      </c>
      <c r="G627" t="s">
        <v>33</v>
      </c>
      <c r="H627" t="s">
        <v>143</v>
      </c>
      <c r="I627">
        <v>13.3</v>
      </c>
      <c r="J627">
        <v>9.5</v>
      </c>
      <c r="K627">
        <v>11.6</v>
      </c>
      <c r="L627">
        <v>24</v>
      </c>
      <c r="M627">
        <v>267</v>
      </c>
      <c r="O627">
        <f t="shared" si="18"/>
        <v>881.09999999999991</v>
      </c>
      <c r="P627">
        <f t="shared" si="19"/>
        <v>10.889999999999999</v>
      </c>
    </row>
    <row r="628" spans="1:16" x14ac:dyDescent="0.25">
      <c r="A628">
        <v>2014</v>
      </c>
      <c r="B628" t="s">
        <v>358</v>
      </c>
      <c r="C628" t="s">
        <v>366</v>
      </c>
      <c r="D628" t="s">
        <v>35</v>
      </c>
      <c r="E628">
        <v>3.7</v>
      </c>
      <c r="F628">
        <v>6</v>
      </c>
      <c r="G628" t="s">
        <v>18</v>
      </c>
      <c r="H628" t="s">
        <v>17</v>
      </c>
      <c r="I628">
        <v>13.5</v>
      </c>
      <c r="J628">
        <v>9.3000000000000007</v>
      </c>
      <c r="K628">
        <v>11.6</v>
      </c>
      <c r="L628">
        <v>24</v>
      </c>
      <c r="M628">
        <v>267</v>
      </c>
      <c r="O628">
        <f t="shared" si="18"/>
        <v>987.90000000000009</v>
      </c>
      <c r="P628">
        <f t="shared" si="19"/>
        <v>13.690000000000001</v>
      </c>
    </row>
    <row r="629" spans="1:16" x14ac:dyDescent="0.25">
      <c r="A629">
        <v>2014</v>
      </c>
      <c r="B629" t="s">
        <v>358</v>
      </c>
      <c r="C629" t="s">
        <v>368</v>
      </c>
      <c r="D629" t="s">
        <v>26</v>
      </c>
      <c r="E629">
        <v>3.7</v>
      </c>
      <c r="F629">
        <v>6</v>
      </c>
      <c r="G629" t="s">
        <v>360</v>
      </c>
      <c r="H629" t="s">
        <v>17</v>
      </c>
      <c r="I629">
        <v>13.2</v>
      </c>
      <c r="J629">
        <v>9.6</v>
      </c>
      <c r="K629">
        <v>11.6</v>
      </c>
      <c r="L629">
        <v>24</v>
      </c>
      <c r="M629">
        <v>267</v>
      </c>
      <c r="O629">
        <f t="shared" si="18"/>
        <v>987.90000000000009</v>
      </c>
      <c r="P629">
        <f t="shared" si="19"/>
        <v>13.690000000000001</v>
      </c>
    </row>
    <row r="630" spans="1:16" x14ac:dyDescent="0.25">
      <c r="A630">
        <v>2014</v>
      </c>
      <c r="B630" t="s">
        <v>396</v>
      </c>
      <c r="C630" t="s">
        <v>401</v>
      </c>
      <c r="D630" t="s">
        <v>22</v>
      </c>
      <c r="E630">
        <v>3.2</v>
      </c>
      <c r="F630">
        <v>6</v>
      </c>
      <c r="G630" t="s">
        <v>398</v>
      </c>
      <c r="H630" t="s">
        <v>143</v>
      </c>
      <c r="I630">
        <v>13.4</v>
      </c>
      <c r="J630">
        <v>9.5</v>
      </c>
      <c r="K630">
        <v>11.6</v>
      </c>
      <c r="L630">
        <v>24</v>
      </c>
      <c r="M630">
        <v>267</v>
      </c>
      <c r="O630">
        <f t="shared" si="18"/>
        <v>854.40000000000009</v>
      </c>
      <c r="P630">
        <f t="shared" si="19"/>
        <v>10.240000000000002</v>
      </c>
    </row>
    <row r="631" spans="1:16" x14ac:dyDescent="0.25">
      <c r="A631">
        <v>2014</v>
      </c>
      <c r="B631" t="s">
        <v>506</v>
      </c>
      <c r="C631" t="s">
        <v>532</v>
      </c>
      <c r="D631" t="s">
        <v>26</v>
      </c>
      <c r="E631">
        <v>4.7</v>
      </c>
      <c r="F631">
        <v>8</v>
      </c>
      <c r="G631" t="s">
        <v>360</v>
      </c>
      <c r="H631" t="s">
        <v>17</v>
      </c>
      <c r="I631">
        <v>13.6</v>
      </c>
      <c r="J631">
        <v>9.1</v>
      </c>
      <c r="K631">
        <v>11.6</v>
      </c>
      <c r="L631">
        <v>24</v>
      </c>
      <c r="M631">
        <v>267</v>
      </c>
      <c r="O631">
        <f t="shared" si="18"/>
        <v>1254.9000000000001</v>
      </c>
      <c r="P631">
        <f t="shared" si="19"/>
        <v>22.090000000000003</v>
      </c>
    </row>
    <row r="632" spans="1:16" x14ac:dyDescent="0.25">
      <c r="A632">
        <v>2014</v>
      </c>
      <c r="B632" t="s">
        <v>582</v>
      </c>
      <c r="C632" t="s">
        <v>586</v>
      </c>
      <c r="D632" t="s">
        <v>15</v>
      </c>
      <c r="E632">
        <v>2</v>
      </c>
      <c r="F632">
        <v>4</v>
      </c>
      <c r="G632" t="s">
        <v>250</v>
      </c>
      <c r="H632" t="s">
        <v>17</v>
      </c>
      <c r="I632">
        <v>13.4</v>
      </c>
      <c r="J632">
        <v>9.4</v>
      </c>
      <c r="K632">
        <v>11.6</v>
      </c>
      <c r="L632">
        <v>24</v>
      </c>
      <c r="M632">
        <v>267</v>
      </c>
      <c r="O632">
        <f t="shared" si="18"/>
        <v>534</v>
      </c>
      <c r="P632">
        <f t="shared" si="19"/>
        <v>4</v>
      </c>
    </row>
    <row r="633" spans="1:16" x14ac:dyDescent="0.25">
      <c r="A633">
        <v>2014</v>
      </c>
      <c r="B633" t="s">
        <v>681</v>
      </c>
      <c r="C633" t="s">
        <v>686</v>
      </c>
      <c r="D633" t="s">
        <v>26</v>
      </c>
      <c r="E633">
        <v>3.6</v>
      </c>
      <c r="F633">
        <v>6</v>
      </c>
      <c r="G633" t="s">
        <v>16</v>
      </c>
      <c r="H633" t="s">
        <v>143</v>
      </c>
      <c r="I633">
        <v>13.3</v>
      </c>
      <c r="J633">
        <v>9.5</v>
      </c>
      <c r="K633">
        <v>11.6</v>
      </c>
      <c r="L633">
        <v>24</v>
      </c>
      <c r="M633">
        <v>267</v>
      </c>
      <c r="O633">
        <f t="shared" si="18"/>
        <v>961.2</v>
      </c>
      <c r="P633">
        <f t="shared" si="19"/>
        <v>12.96</v>
      </c>
    </row>
    <row r="634" spans="1:16" x14ac:dyDescent="0.25">
      <c r="A634">
        <v>2014</v>
      </c>
      <c r="B634" t="s">
        <v>723</v>
      </c>
      <c r="C634" t="s">
        <v>739</v>
      </c>
      <c r="D634" t="s">
        <v>22</v>
      </c>
      <c r="E634">
        <v>2</v>
      </c>
      <c r="F634">
        <v>4</v>
      </c>
      <c r="G634" t="s">
        <v>18</v>
      </c>
      <c r="H634" t="s">
        <v>17</v>
      </c>
      <c r="I634">
        <v>13.6</v>
      </c>
      <c r="J634">
        <v>9.1999999999999993</v>
      </c>
      <c r="K634">
        <v>11.6</v>
      </c>
      <c r="L634">
        <v>24</v>
      </c>
      <c r="M634">
        <v>267</v>
      </c>
      <c r="O634">
        <f t="shared" si="18"/>
        <v>534</v>
      </c>
      <c r="P634">
        <f t="shared" si="19"/>
        <v>4</v>
      </c>
    </row>
    <row r="635" spans="1:16" x14ac:dyDescent="0.25">
      <c r="A635">
        <v>2014</v>
      </c>
      <c r="B635" t="s">
        <v>175</v>
      </c>
      <c r="C635" t="s">
        <v>176</v>
      </c>
      <c r="D635" t="s">
        <v>15</v>
      </c>
      <c r="E635">
        <v>3.6</v>
      </c>
      <c r="F635">
        <v>6</v>
      </c>
      <c r="G635" t="s">
        <v>18</v>
      </c>
      <c r="H635" t="s">
        <v>143</v>
      </c>
      <c r="I635">
        <v>14.2</v>
      </c>
      <c r="J635">
        <v>8.6</v>
      </c>
      <c r="K635">
        <v>11.7</v>
      </c>
      <c r="L635">
        <v>24</v>
      </c>
      <c r="M635">
        <v>269</v>
      </c>
      <c r="O635">
        <f t="shared" si="18"/>
        <v>968.4</v>
      </c>
      <c r="P635">
        <f t="shared" si="19"/>
        <v>12.96</v>
      </c>
    </row>
    <row r="636" spans="1:16" x14ac:dyDescent="0.25">
      <c r="A636">
        <v>2014</v>
      </c>
      <c r="B636" t="s">
        <v>358</v>
      </c>
      <c r="C636" t="s">
        <v>365</v>
      </c>
      <c r="D636" t="s">
        <v>35</v>
      </c>
      <c r="E636">
        <v>3.7</v>
      </c>
      <c r="F636">
        <v>6</v>
      </c>
      <c r="G636" t="s">
        <v>360</v>
      </c>
      <c r="H636" t="s">
        <v>17</v>
      </c>
      <c r="I636">
        <v>13.6</v>
      </c>
      <c r="J636">
        <v>9.3000000000000007</v>
      </c>
      <c r="K636">
        <v>11.7</v>
      </c>
      <c r="L636">
        <v>24</v>
      </c>
      <c r="M636">
        <v>269</v>
      </c>
      <c r="O636">
        <f t="shared" si="18"/>
        <v>995.30000000000007</v>
      </c>
      <c r="P636">
        <f t="shared" si="19"/>
        <v>13.690000000000001</v>
      </c>
    </row>
    <row r="637" spans="1:16" x14ac:dyDescent="0.25">
      <c r="A637">
        <v>2014</v>
      </c>
      <c r="B637" t="s">
        <v>450</v>
      </c>
      <c r="C637" t="s">
        <v>471</v>
      </c>
      <c r="D637" t="s">
        <v>22</v>
      </c>
      <c r="E637">
        <v>3.5</v>
      </c>
      <c r="F637">
        <v>6</v>
      </c>
      <c r="G637" t="s">
        <v>23</v>
      </c>
      <c r="H637" t="s">
        <v>143</v>
      </c>
      <c r="I637">
        <v>13.3</v>
      </c>
      <c r="J637">
        <v>9.8000000000000007</v>
      </c>
      <c r="K637">
        <v>11.7</v>
      </c>
      <c r="L637">
        <v>24</v>
      </c>
      <c r="M637">
        <v>269</v>
      </c>
      <c r="O637">
        <f t="shared" si="18"/>
        <v>941.5</v>
      </c>
      <c r="P637">
        <f t="shared" si="19"/>
        <v>12.25</v>
      </c>
    </row>
    <row r="638" spans="1:16" x14ac:dyDescent="0.25">
      <c r="A638">
        <v>2014</v>
      </c>
      <c r="B638" t="s">
        <v>506</v>
      </c>
      <c r="C638" t="s">
        <v>533</v>
      </c>
      <c r="D638" t="s">
        <v>35</v>
      </c>
      <c r="E638">
        <v>4.7</v>
      </c>
      <c r="F638">
        <v>8</v>
      </c>
      <c r="G638" t="s">
        <v>360</v>
      </c>
      <c r="H638" t="s">
        <v>17</v>
      </c>
      <c r="I638">
        <v>13.7</v>
      </c>
      <c r="J638">
        <v>9.3000000000000007</v>
      </c>
      <c r="K638">
        <v>11.7</v>
      </c>
      <c r="L638">
        <v>24</v>
      </c>
      <c r="M638">
        <v>269</v>
      </c>
      <c r="O638">
        <f t="shared" si="18"/>
        <v>1264.3</v>
      </c>
      <c r="P638">
        <f t="shared" si="19"/>
        <v>22.090000000000003</v>
      </c>
    </row>
    <row r="639" spans="1:16" x14ac:dyDescent="0.25">
      <c r="A639">
        <v>2014</v>
      </c>
      <c r="B639" t="s">
        <v>506</v>
      </c>
      <c r="C639" t="s">
        <v>554</v>
      </c>
      <c r="D639" t="s">
        <v>37</v>
      </c>
      <c r="E639">
        <v>4.7</v>
      </c>
      <c r="F639">
        <v>8</v>
      </c>
      <c r="G639" t="s">
        <v>360</v>
      </c>
      <c r="H639" t="s">
        <v>17</v>
      </c>
      <c r="I639">
        <v>13.4</v>
      </c>
      <c r="J639">
        <v>9.6</v>
      </c>
      <c r="K639">
        <v>11.7</v>
      </c>
      <c r="L639">
        <v>24</v>
      </c>
      <c r="M639">
        <v>269</v>
      </c>
      <c r="O639">
        <f t="shared" si="18"/>
        <v>1264.3</v>
      </c>
      <c r="P639">
        <f t="shared" si="19"/>
        <v>22.090000000000003</v>
      </c>
    </row>
    <row r="640" spans="1:16" x14ac:dyDescent="0.25">
      <c r="A640">
        <v>2014</v>
      </c>
      <c r="B640" t="s">
        <v>593</v>
      </c>
      <c r="C640" t="s">
        <v>595</v>
      </c>
      <c r="D640" t="s">
        <v>37</v>
      </c>
      <c r="E640">
        <v>3.7</v>
      </c>
      <c r="F640">
        <v>6</v>
      </c>
      <c r="G640" t="s">
        <v>18</v>
      </c>
      <c r="H640" t="s">
        <v>17</v>
      </c>
      <c r="I640">
        <v>13.5</v>
      </c>
      <c r="J640">
        <v>9.6</v>
      </c>
      <c r="K640">
        <v>11.7</v>
      </c>
      <c r="L640">
        <v>24</v>
      </c>
      <c r="M640">
        <v>269</v>
      </c>
      <c r="O640">
        <f t="shared" si="18"/>
        <v>995.30000000000007</v>
      </c>
      <c r="P640">
        <f t="shared" si="19"/>
        <v>13.690000000000001</v>
      </c>
    </row>
    <row r="641" spans="1:16" x14ac:dyDescent="0.25">
      <c r="A641">
        <v>2014</v>
      </c>
      <c r="B641" t="s">
        <v>681</v>
      </c>
      <c r="C641" t="s">
        <v>687</v>
      </c>
      <c r="D641" t="s">
        <v>22</v>
      </c>
      <c r="E641">
        <v>3.6</v>
      </c>
      <c r="F641">
        <v>6</v>
      </c>
      <c r="G641" t="s">
        <v>16</v>
      </c>
      <c r="H641" t="s">
        <v>143</v>
      </c>
      <c r="I641">
        <v>13.4</v>
      </c>
      <c r="J641">
        <v>9.6999999999999993</v>
      </c>
      <c r="K641">
        <v>11.7</v>
      </c>
      <c r="L641">
        <v>24</v>
      </c>
      <c r="M641">
        <v>269</v>
      </c>
      <c r="O641">
        <f t="shared" si="18"/>
        <v>968.4</v>
      </c>
      <c r="P641">
        <f t="shared" si="19"/>
        <v>12.96</v>
      </c>
    </row>
    <row r="642" spans="1:16" x14ac:dyDescent="0.25">
      <c r="A642">
        <v>2014</v>
      </c>
      <c r="B642" t="s">
        <v>155</v>
      </c>
      <c r="C642" t="s">
        <v>173</v>
      </c>
      <c r="D642" t="s">
        <v>56</v>
      </c>
      <c r="E642">
        <v>3.6</v>
      </c>
      <c r="F642">
        <v>6</v>
      </c>
      <c r="G642" t="s">
        <v>23</v>
      </c>
      <c r="H642" t="s">
        <v>143</v>
      </c>
      <c r="I642">
        <v>14</v>
      </c>
      <c r="J642">
        <v>9.1</v>
      </c>
      <c r="K642">
        <v>11.8</v>
      </c>
      <c r="L642">
        <v>24</v>
      </c>
      <c r="M642">
        <v>271</v>
      </c>
      <c r="O642">
        <f t="shared" si="18"/>
        <v>975.6</v>
      </c>
      <c r="P642">
        <f t="shared" si="19"/>
        <v>12.96</v>
      </c>
    </row>
    <row r="643" spans="1:16" x14ac:dyDescent="0.25">
      <c r="A643">
        <v>2014</v>
      </c>
      <c r="B643" t="s">
        <v>175</v>
      </c>
      <c r="C643" t="s">
        <v>201</v>
      </c>
      <c r="D643" t="s">
        <v>202</v>
      </c>
      <c r="E643">
        <v>4.3</v>
      </c>
      <c r="F643">
        <v>6</v>
      </c>
      <c r="G643" t="s">
        <v>33</v>
      </c>
      <c r="H643" t="s">
        <v>143</v>
      </c>
      <c r="I643">
        <v>13.4</v>
      </c>
      <c r="J643">
        <v>9.9</v>
      </c>
      <c r="K643">
        <v>11.8</v>
      </c>
      <c r="L643">
        <v>24</v>
      </c>
      <c r="M643">
        <v>271</v>
      </c>
      <c r="O643">
        <f t="shared" ref="O643:O706" si="20">M643*E643</f>
        <v>1165.3</v>
      </c>
      <c r="P643">
        <f t="shared" ref="P643:P706" si="21">E643*E643</f>
        <v>18.489999999999998</v>
      </c>
    </row>
    <row r="644" spans="1:16" x14ac:dyDescent="0.25">
      <c r="A644">
        <v>2014</v>
      </c>
      <c r="B644" t="s">
        <v>232</v>
      </c>
      <c r="C644" t="s">
        <v>253</v>
      </c>
      <c r="D644" t="s">
        <v>231</v>
      </c>
      <c r="E644">
        <v>3.6</v>
      </c>
      <c r="F644">
        <v>6</v>
      </c>
      <c r="G644" t="s">
        <v>33</v>
      </c>
      <c r="H644" t="s">
        <v>143</v>
      </c>
      <c r="I644">
        <v>13.7</v>
      </c>
      <c r="J644">
        <v>9.4</v>
      </c>
      <c r="K644">
        <v>11.8</v>
      </c>
      <c r="L644">
        <v>24</v>
      </c>
      <c r="M644">
        <v>271</v>
      </c>
      <c r="O644">
        <f t="shared" si="20"/>
        <v>975.6</v>
      </c>
      <c r="P644">
        <f t="shared" si="21"/>
        <v>12.96</v>
      </c>
    </row>
    <row r="645" spans="1:16" x14ac:dyDescent="0.25">
      <c r="A645">
        <v>2014</v>
      </c>
      <c r="B645" t="s">
        <v>265</v>
      </c>
      <c r="C645" t="s">
        <v>301</v>
      </c>
      <c r="D645" t="s">
        <v>56</v>
      </c>
      <c r="E645">
        <v>3.5</v>
      </c>
      <c r="F645">
        <v>6</v>
      </c>
      <c r="G645" t="s">
        <v>23</v>
      </c>
      <c r="H645" t="s">
        <v>143</v>
      </c>
      <c r="I645">
        <v>13.7</v>
      </c>
      <c r="J645">
        <v>9.4</v>
      </c>
      <c r="K645">
        <v>11.8</v>
      </c>
      <c r="L645">
        <v>24</v>
      </c>
      <c r="M645">
        <v>271</v>
      </c>
      <c r="O645">
        <f t="shared" si="20"/>
        <v>948.5</v>
      </c>
      <c r="P645">
        <f t="shared" si="21"/>
        <v>12.25</v>
      </c>
    </row>
    <row r="646" spans="1:16" x14ac:dyDescent="0.25">
      <c r="A646">
        <v>2014</v>
      </c>
      <c r="B646" t="s">
        <v>308</v>
      </c>
      <c r="C646" t="s">
        <v>319</v>
      </c>
      <c r="D646" t="s">
        <v>202</v>
      </c>
      <c r="E646">
        <v>4.3</v>
      </c>
      <c r="F646">
        <v>6</v>
      </c>
      <c r="G646" t="s">
        <v>33</v>
      </c>
      <c r="H646" t="s">
        <v>143</v>
      </c>
      <c r="I646">
        <v>13.4</v>
      </c>
      <c r="J646">
        <v>9.9</v>
      </c>
      <c r="K646">
        <v>11.8</v>
      </c>
      <c r="L646">
        <v>24</v>
      </c>
      <c r="M646">
        <v>271</v>
      </c>
      <c r="O646">
        <f t="shared" si="20"/>
        <v>1165.3</v>
      </c>
      <c r="P646">
        <f t="shared" si="21"/>
        <v>18.489999999999998</v>
      </c>
    </row>
    <row r="647" spans="1:16" x14ac:dyDescent="0.25">
      <c r="A647">
        <v>2014</v>
      </c>
      <c r="B647" t="s">
        <v>358</v>
      </c>
      <c r="C647" t="s">
        <v>370</v>
      </c>
      <c r="D647" t="s">
        <v>59</v>
      </c>
      <c r="E647">
        <v>3.7</v>
      </c>
      <c r="F647">
        <v>6</v>
      </c>
      <c r="G647" t="s">
        <v>360</v>
      </c>
      <c r="H647" t="s">
        <v>17</v>
      </c>
      <c r="I647">
        <v>13.6</v>
      </c>
      <c r="J647">
        <v>9.6</v>
      </c>
      <c r="K647">
        <v>11.8</v>
      </c>
      <c r="L647">
        <v>24</v>
      </c>
      <c r="M647">
        <v>271</v>
      </c>
      <c r="O647">
        <f t="shared" si="20"/>
        <v>1002.7</v>
      </c>
      <c r="P647">
        <f t="shared" si="21"/>
        <v>13.690000000000001</v>
      </c>
    </row>
    <row r="648" spans="1:16" x14ac:dyDescent="0.25">
      <c r="A648">
        <v>2014</v>
      </c>
      <c r="B648" t="s">
        <v>414</v>
      </c>
      <c r="C648" t="s">
        <v>426</v>
      </c>
      <c r="D648" t="s">
        <v>22</v>
      </c>
      <c r="E648">
        <v>3.3</v>
      </c>
      <c r="F648">
        <v>6</v>
      </c>
      <c r="G648" t="s">
        <v>33</v>
      </c>
      <c r="H648" t="s">
        <v>143</v>
      </c>
      <c r="I648">
        <v>13.4</v>
      </c>
      <c r="J648">
        <v>9.9</v>
      </c>
      <c r="K648">
        <v>11.8</v>
      </c>
      <c r="L648">
        <v>24</v>
      </c>
      <c r="M648">
        <v>271</v>
      </c>
      <c r="O648">
        <f t="shared" si="20"/>
        <v>894.3</v>
      </c>
      <c r="P648">
        <f t="shared" si="21"/>
        <v>10.889999999999999</v>
      </c>
    </row>
    <row r="649" spans="1:16" x14ac:dyDescent="0.25">
      <c r="A649">
        <v>2014</v>
      </c>
      <c r="B649" t="s">
        <v>473</v>
      </c>
      <c r="C649" t="s">
        <v>474</v>
      </c>
      <c r="D649" t="s">
        <v>56</v>
      </c>
      <c r="E649">
        <v>3.5</v>
      </c>
      <c r="F649">
        <v>6</v>
      </c>
      <c r="G649" t="s">
        <v>23</v>
      </c>
      <c r="H649" t="s">
        <v>143</v>
      </c>
      <c r="I649">
        <v>13.7</v>
      </c>
      <c r="J649">
        <v>9.4</v>
      </c>
      <c r="K649">
        <v>11.8</v>
      </c>
      <c r="L649">
        <v>24</v>
      </c>
      <c r="M649">
        <v>271</v>
      </c>
      <c r="O649">
        <f t="shared" si="20"/>
        <v>948.5</v>
      </c>
      <c r="P649">
        <f t="shared" si="21"/>
        <v>12.25</v>
      </c>
    </row>
    <row r="650" spans="1:16" x14ac:dyDescent="0.25">
      <c r="A650">
        <v>2014</v>
      </c>
      <c r="B650" t="s">
        <v>593</v>
      </c>
      <c r="C650" t="s">
        <v>605</v>
      </c>
      <c r="D650" t="s">
        <v>22</v>
      </c>
      <c r="E650">
        <v>3.5</v>
      </c>
      <c r="F650">
        <v>6</v>
      </c>
      <c r="G650" t="s">
        <v>209</v>
      </c>
      <c r="H650" t="s">
        <v>143</v>
      </c>
      <c r="I650">
        <v>13.2</v>
      </c>
      <c r="J650">
        <v>10.1</v>
      </c>
      <c r="K650">
        <v>11.8</v>
      </c>
      <c r="L650">
        <v>24</v>
      </c>
      <c r="M650">
        <v>271</v>
      </c>
      <c r="O650">
        <f t="shared" si="20"/>
        <v>948.5</v>
      </c>
      <c r="P650">
        <f t="shared" si="21"/>
        <v>12.25</v>
      </c>
    </row>
    <row r="651" spans="1:16" x14ac:dyDescent="0.25">
      <c r="A651">
        <v>2014</v>
      </c>
      <c r="B651" t="s">
        <v>691</v>
      </c>
      <c r="C651" t="s">
        <v>717</v>
      </c>
      <c r="D651" t="s">
        <v>599</v>
      </c>
      <c r="E651">
        <v>2.7</v>
      </c>
      <c r="F651">
        <v>4</v>
      </c>
      <c r="G651" t="s">
        <v>126</v>
      </c>
      <c r="H651" t="s">
        <v>143</v>
      </c>
      <c r="I651">
        <v>12.8</v>
      </c>
      <c r="J651">
        <v>10.6</v>
      </c>
      <c r="K651">
        <v>11.8</v>
      </c>
      <c r="L651">
        <v>24</v>
      </c>
      <c r="M651">
        <v>271</v>
      </c>
      <c r="O651">
        <f t="shared" si="20"/>
        <v>731.7</v>
      </c>
      <c r="P651">
        <f t="shared" si="21"/>
        <v>7.2900000000000009</v>
      </c>
    </row>
    <row r="652" spans="1:16" x14ac:dyDescent="0.25">
      <c r="A652">
        <v>2014</v>
      </c>
      <c r="B652" t="s">
        <v>743</v>
      </c>
      <c r="C652" t="s">
        <v>749</v>
      </c>
      <c r="D652" t="s">
        <v>22</v>
      </c>
      <c r="E652">
        <v>3</v>
      </c>
      <c r="F652">
        <v>6</v>
      </c>
      <c r="G652" t="s">
        <v>23</v>
      </c>
      <c r="H652" t="s">
        <v>143</v>
      </c>
      <c r="I652">
        <v>13.4</v>
      </c>
      <c r="J652">
        <v>9.8000000000000007</v>
      </c>
      <c r="K652">
        <v>11.8</v>
      </c>
      <c r="L652">
        <v>24</v>
      </c>
      <c r="M652">
        <v>271</v>
      </c>
      <c r="O652">
        <f t="shared" si="20"/>
        <v>813</v>
      </c>
      <c r="P652">
        <f t="shared" si="21"/>
        <v>9</v>
      </c>
    </row>
    <row r="653" spans="1:16" x14ac:dyDescent="0.25">
      <c r="A653">
        <v>2014</v>
      </c>
      <c r="B653" t="s">
        <v>743</v>
      </c>
      <c r="C653" t="s">
        <v>750</v>
      </c>
      <c r="D653" t="s">
        <v>22</v>
      </c>
      <c r="E653">
        <v>3</v>
      </c>
      <c r="F653">
        <v>6</v>
      </c>
      <c r="G653" t="s">
        <v>23</v>
      </c>
      <c r="H653" t="s">
        <v>143</v>
      </c>
      <c r="I653">
        <v>13.4</v>
      </c>
      <c r="J653">
        <v>9.8000000000000007</v>
      </c>
      <c r="K653">
        <v>11.8</v>
      </c>
      <c r="L653">
        <v>24</v>
      </c>
      <c r="M653">
        <v>271</v>
      </c>
      <c r="O653">
        <f t="shared" si="20"/>
        <v>813</v>
      </c>
      <c r="P653">
        <f t="shared" si="21"/>
        <v>9</v>
      </c>
    </row>
    <row r="654" spans="1:16" x14ac:dyDescent="0.25">
      <c r="A654">
        <v>2014</v>
      </c>
      <c r="B654" t="s">
        <v>90</v>
      </c>
      <c r="C654" t="s">
        <v>136</v>
      </c>
      <c r="D654" t="s">
        <v>64</v>
      </c>
      <c r="E654">
        <v>3</v>
      </c>
      <c r="F654">
        <v>6</v>
      </c>
      <c r="G654" t="s">
        <v>53</v>
      </c>
      <c r="H654" t="s">
        <v>17</v>
      </c>
      <c r="I654">
        <v>13.6</v>
      </c>
      <c r="J654">
        <v>9.8000000000000007</v>
      </c>
      <c r="K654">
        <v>11.9</v>
      </c>
      <c r="L654">
        <v>24</v>
      </c>
      <c r="M654">
        <v>274</v>
      </c>
      <c r="O654">
        <f t="shared" si="20"/>
        <v>822</v>
      </c>
      <c r="P654">
        <f t="shared" si="21"/>
        <v>9</v>
      </c>
    </row>
    <row r="655" spans="1:16" x14ac:dyDescent="0.25">
      <c r="A655">
        <v>2014</v>
      </c>
      <c r="B655" t="s">
        <v>265</v>
      </c>
      <c r="C655" t="s">
        <v>278</v>
      </c>
      <c r="D655" t="s">
        <v>64</v>
      </c>
      <c r="E655">
        <v>3.5</v>
      </c>
      <c r="F655">
        <v>6</v>
      </c>
      <c r="G655" t="s">
        <v>23</v>
      </c>
      <c r="H655" t="s">
        <v>143</v>
      </c>
      <c r="I655">
        <v>13.7</v>
      </c>
      <c r="J655">
        <v>9.6999999999999993</v>
      </c>
      <c r="K655">
        <v>11.9</v>
      </c>
      <c r="L655">
        <v>24</v>
      </c>
      <c r="M655">
        <v>274</v>
      </c>
      <c r="O655">
        <f t="shared" si="20"/>
        <v>959</v>
      </c>
      <c r="P655">
        <f t="shared" si="21"/>
        <v>12.25</v>
      </c>
    </row>
    <row r="656" spans="1:16" x14ac:dyDescent="0.25">
      <c r="A656">
        <v>2014</v>
      </c>
      <c r="B656" t="s">
        <v>434</v>
      </c>
      <c r="C656" t="s">
        <v>435</v>
      </c>
      <c r="D656" t="s">
        <v>22</v>
      </c>
      <c r="E656">
        <v>2</v>
      </c>
      <c r="F656">
        <v>4</v>
      </c>
      <c r="G656" t="s">
        <v>23</v>
      </c>
      <c r="H656" t="s">
        <v>17</v>
      </c>
      <c r="I656">
        <v>13.5</v>
      </c>
      <c r="J656">
        <v>9.9</v>
      </c>
      <c r="K656">
        <v>11.9</v>
      </c>
      <c r="L656">
        <v>24</v>
      </c>
      <c r="M656">
        <v>274</v>
      </c>
      <c r="O656">
        <f t="shared" si="20"/>
        <v>548</v>
      </c>
      <c r="P656">
        <f t="shared" si="21"/>
        <v>4</v>
      </c>
    </row>
    <row r="657" spans="1:16" x14ac:dyDescent="0.25">
      <c r="A657">
        <v>2014</v>
      </c>
      <c r="B657" t="s">
        <v>618</v>
      </c>
      <c r="C657" t="s">
        <v>628</v>
      </c>
      <c r="D657" t="s">
        <v>32</v>
      </c>
      <c r="E657">
        <v>3.8</v>
      </c>
      <c r="F657">
        <v>6</v>
      </c>
      <c r="G657" t="s">
        <v>38</v>
      </c>
      <c r="H657" t="s">
        <v>17</v>
      </c>
      <c r="I657">
        <v>13.7</v>
      </c>
      <c r="J657">
        <v>9.6</v>
      </c>
      <c r="K657">
        <v>11.9</v>
      </c>
      <c r="L657">
        <v>24</v>
      </c>
      <c r="M657">
        <v>274</v>
      </c>
      <c r="O657">
        <f t="shared" si="20"/>
        <v>1041.2</v>
      </c>
      <c r="P657">
        <f t="shared" si="21"/>
        <v>14.44</v>
      </c>
    </row>
    <row r="658" spans="1:16" x14ac:dyDescent="0.25">
      <c r="A658">
        <v>2014</v>
      </c>
      <c r="B658" t="s">
        <v>618</v>
      </c>
      <c r="C658" t="s">
        <v>629</v>
      </c>
      <c r="D658" t="s">
        <v>32</v>
      </c>
      <c r="E658">
        <v>3.8</v>
      </c>
      <c r="F658">
        <v>6</v>
      </c>
      <c r="G658" t="s">
        <v>38</v>
      </c>
      <c r="H658" t="s">
        <v>17</v>
      </c>
      <c r="I658">
        <v>13.7</v>
      </c>
      <c r="J658">
        <v>9.6</v>
      </c>
      <c r="K658">
        <v>11.9</v>
      </c>
      <c r="L658">
        <v>24</v>
      </c>
      <c r="M658">
        <v>274</v>
      </c>
      <c r="O658">
        <f t="shared" si="20"/>
        <v>1041.2</v>
      </c>
      <c r="P658">
        <f t="shared" si="21"/>
        <v>14.44</v>
      </c>
    </row>
    <row r="659" spans="1:16" x14ac:dyDescent="0.25">
      <c r="A659">
        <v>2014</v>
      </c>
      <c r="B659" t="s">
        <v>618</v>
      </c>
      <c r="C659" t="s">
        <v>630</v>
      </c>
      <c r="D659" t="s">
        <v>32</v>
      </c>
      <c r="E659">
        <v>3.8</v>
      </c>
      <c r="F659">
        <v>6</v>
      </c>
      <c r="G659" t="s">
        <v>38</v>
      </c>
      <c r="H659" t="s">
        <v>17</v>
      </c>
      <c r="I659">
        <v>13.7</v>
      </c>
      <c r="J659">
        <v>9.6</v>
      </c>
      <c r="K659">
        <v>11.9</v>
      </c>
      <c r="L659">
        <v>24</v>
      </c>
      <c r="M659">
        <v>274</v>
      </c>
      <c r="O659">
        <f t="shared" si="20"/>
        <v>1041.2</v>
      </c>
      <c r="P659">
        <f t="shared" si="21"/>
        <v>14.44</v>
      </c>
    </row>
    <row r="660" spans="1:16" x14ac:dyDescent="0.25">
      <c r="A660">
        <v>2014</v>
      </c>
      <c r="B660" t="s">
        <v>618</v>
      </c>
      <c r="C660" t="s">
        <v>631</v>
      </c>
      <c r="D660" t="s">
        <v>32</v>
      </c>
      <c r="E660">
        <v>3.8</v>
      </c>
      <c r="F660">
        <v>6</v>
      </c>
      <c r="G660" t="s">
        <v>38</v>
      </c>
      <c r="H660" t="s">
        <v>17</v>
      </c>
      <c r="I660">
        <v>13.7</v>
      </c>
      <c r="J660">
        <v>9.6</v>
      </c>
      <c r="K660">
        <v>11.9</v>
      </c>
      <c r="L660">
        <v>24</v>
      </c>
      <c r="M660">
        <v>274</v>
      </c>
      <c r="O660">
        <f t="shared" si="20"/>
        <v>1041.2</v>
      </c>
      <c r="P660">
        <f t="shared" si="21"/>
        <v>14.44</v>
      </c>
    </row>
    <row r="661" spans="1:16" x14ac:dyDescent="0.25">
      <c r="A661">
        <v>2014</v>
      </c>
      <c r="B661" t="s">
        <v>650</v>
      </c>
      <c r="C661" t="s">
        <v>656</v>
      </c>
      <c r="D661" t="s">
        <v>202</v>
      </c>
      <c r="E661">
        <v>3.6</v>
      </c>
      <c r="F661">
        <v>6</v>
      </c>
      <c r="G661" t="s">
        <v>53</v>
      </c>
      <c r="H661" t="s">
        <v>143</v>
      </c>
      <c r="I661">
        <v>13.9</v>
      </c>
      <c r="J661">
        <v>9.5</v>
      </c>
      <c r="K661">
        <v>11.9</v>
      </c>
      <c r="L661">
        <v>24</v>
      </c>
      <c r="M661">
        <v>274</v>
      </c>
      <c r="O661">
        <f t="shared" si="20"/>
        <v>986.4</v>
      </c>
      <c r="P661">
        <f t="shared" si="21"/>
        <v>12.96</v>
      </c>
    </row>
    <row r="662" spans="1:16" x14ac:dyDescent="0.25">
      <c r="A662">
        <v>2014</v>
      </c>
      <c r="B662" t="s">
        <v>691</v>
      </c>
      <c r="C662" t="s">
        <v>717</v>
      </c>
      <c r="D662" t="s">
        <v>599</v>
      </c>
      <c r="E662">
        <v>2.7</v>
      </c>
      <c r="F662">
        <v>4</v>
      </c>
      <c r="G662" t="s">
        <v>42</v>
      </c>
      <c r="H662" t="s">
        <v>143</v>
      </c>
      <c r="I662">
        <v>13.1</v>
      </c>
      <c r="J662">
        <v>10.5</v>
      </c>
      <c r="K662">
        <v>11.9</v>
      </c>
      <c r="L662">
        <v>24</v>
      </c>
      <c r="M662">
        <v>274</v>
      </c>
      <c r="O662">
        <f t="shared" si="20"/>
        <v>739.80000000000007</v>
      </c>
      <c r="P662">
        <f t="shared" si="21"/>
        <v>7.2900000000000009</v>
      </c>
    </row>
    <row r="663" spans="1:16" x14ac:dyDescent="0.25">
      <c r="A663">
        <v>2014</v>
      </c>
      <c r="B663" t="s">
        <v>175</v>
      </c>
      <c r="C663" t="s">
        <v>180</v>
      </c>
      <c r="D663" t="s">
        <v>37</v>
      </c>
      <c r="E663">
        <v>6.2</v>
      </c>
      <c r="F663">
        <v>8</v>
      </c>
      <c r="G663" t="s">
        <v>23</v>
      </c>
      <c r="H663" t="s">
        <v>17</v>
      </c>
      <c r="I663">
        <v>14.9</v>
      </c>
      <c r="J663">
        <v>8.5</v>
      </c>
      <c r="K663">
        <v>12</v>
      </c>
      <c r="L663">
        <v>24</v>
      </c>
      <c r="M663">
        <v>276</v>
      </c>
      <c r="O663">
        <f t="shared" si="20"/>
        <v>1711.2</v>
      </c>
      <c r="P663">
        <f t="shared" si="21"/>
        <v>38.440000000000005</v>
      </c>
    </row>
    <row r="664" spans="1:16" x14ac:dyDescent="0.25">
      <c r="A664">
        <v>2014</v>
      </c>
      <c r="B664" t="s">
        <v>175</v>
      </c>
      <c r="C664" t="s">
        <v>185</v>
      </c>
      <c r="D664" t="s">
        <v>22</v>
      </c>
      <c r="E664">
        <v>3.6</v>
      </c>
      <c r="F664">
        <v>6</v>
      </c>
      <c r="G664" t="s">
        <v>33</v>
      </c>
      <c r="H664" t="s">
        <v>143</v>
      </c>
      <c r="I664">
        <v>13.9</v>
      </c>
      <c r="J664">
        <v>9.6</v>
      </c>
      <c r="K664">
        <v>12</v>
      </c>
      <c r="L664">
        <v>24</v>
      </c>
      <c r="M664">
        <v>276</v>
      </c>
      <c r="O664">
        <f t="shared" si="20"/>
        <v>993.6</v>
      </c>
      <c r="P664">
        <f t="shared" si="21"/>
        <v>12.96</v>
      </c>
    </row>
    <row r="665" spans="1:16" x14ac:dyDescent="0.25">
      <c r="A665">
        <v>2014</v>
      </c>
      <c r="B665" t="s">
        <v>218</v>
      </c>
      <c r="C665" t="s">
        <v>230</v>
      </c>
      <c r="D665" t="s">
        <v>231</v>
      </c>
      <c r="E665">
        <v>3.6</v>
      </c>
      <c r="F665">
        <v>6</v>
      </c>
      <c r="G665" t="s">
        <v>33</v>
      </c>
      <c r="H665" t="s">
        <v>143</v>
      </c>
      <c r="I665">
        <v>14.1</v>
      </c>
      <c r="J665">
        <v>9.5</v>
      </c>
      <c r="K665">
        <v>12</v>
      </c>
      <c r="L665">
        <v>24</v>
      </c>
      <c r="M665">
        <v>276</v>
      </c>
      <c r="O665">
        <f t="shared" si="20"/>
        <v>993.6</v>
      </c>
      <c r="P665">
        <f t="shared" si="21"/>
        <v>12.96</v>
      </c>
    </row>
    <row r="666" spans="1:16" x14ac:dyDescent="0.25">
      <c r="A666">
        <v>2014</v>
      </c>
      <c r="B666" t="s">
        <v>232</v>
      </c>
      <c r="C666" t="s">
        <v>256</v>
      </c>
      <c r="D666" t="s">
        <v>22</v>
      </c>
      <c r="E666">
        <v>3.6</v>
      </c>
      <c r="F666">
        <v>6</v>
      </c>
      <c r="G666" t="s">
        <v>33</v>
      </c>
      <c r="H666" t="s">
        <v>143</v>
      </c>
      <c r="I666">
        <v>14.2</v>
      </c>
      <c r="J666">
        <v>9.4</v>
      </c>
      <c r="K666">
        <v>12</v>
      </c>
      <c r="L666">
        <v>24</v>
      </c>
      <c r="M666">
        <v>276</v>
      </c>
      <c r="O666">
        <f t="shared" si="20"/>
        <v>993.6</v>
      </c>
      <c r="P666">
        <f t="shared" si="21"/>
        <v>12.96</v>
      </c>
    </row>
    <row r="667" spans="1:16" x14ac:dyDescent="0.25">
      <c r="A667">
        <v>2014</v>
      </c>
      <c r="B667" t="s">
        <v>308</v>
      </c>
      <c r="C667" t="s">
        <v>321</v>
      </c>
      <c r="D667" t="s">
        <v>22</v>
      </c>
      <c r="E667">
        <v>3.6</v>
      </c>
      <c r="F667">
        <v>6</v>
      </c>
      <c r="G667" t="s">
        <v>33</v>
      </c>
      <c r="H667" t="s">
        <v>143</v>
      </c>
      <c r="I667">
        <v>13.9</v>
      </c>
      <c r="J667">
        <v>9.6</v>
      </c>
      <c r="K667">
        <v>12</v>
      </c>
      <c r="L667">
        <v>24</v>
      </c>
      <c r="M667">
        <v>276</v>
      </c>
      <c r="O667">
        <f t="shared" si="20"/>
        <v>993.6</v>
      </c>
      <c r="P667">
        <f t="shared" si="21"/>
        <v>12.96</v>
      </c>
    </row>
    <row r="668" spans="1:16" x14ac:dyDescent="0.25">
      <c r="A668">
        <v>2014</v>
      </c>
      <c r="B668" t="s">
        <v>329</v>
      </c>
      <c r="C668" t="s">
        <v>340</v>
      </c>
      <c r="D668" t="s">
        <v>22</v>
      </c>
      <c r="E668">
        <v>3.5</v>
      </c>
      <c r="F668">
        <v>6</v>
      </c>
      <c r="G668" t="s">
        <v>224</v>
      </c>
      <c r="H668" t="s">
        <v>143</v>
      </c>
      <c r="I668">
        <v>13.9</v>
      </c>
      <c r="J668">
        <v>9.6999999999999993</v>
      </c>
      <c r="K668">
        <v>12</v>
      </c>
      <c r="L668">
        <v>24</v>
      </c>
      <c r="M668">
        <v>276</v>
      </c>
      <c r="O668">
        <f t="shared" si="20"/>
        <v>966</v>
      </c>
      <c r="P668">
        <f t="shared" si="21"/>
        <v>12.25</v>
      </c>
    </row>
    <row r="669" spans="1:16" x14ac:dyDescent="0.25">
      <c r="A669">
        <v>2014</v>
      </c>
      <c r="B669" t="s">
        <v>414</v>
      </c>
      <c r="C669" t="s">
        <v>424</v>
      </c>
      <c r="D669" t="s">
        <v>231</v>
      </c>
      <c r="E669">
        <v>3.5</v>
      </c>
      <c r="F669">
        <v>6</v>
      </c>
      <c r="G669" t="s">
        <v>33</v>
      </c>
      <c r="H669" t="s">
        <v>143</v>
      </c>
      <c r="I669">
        <v>13.7</v>
      </c>
      <c r="J669">
        <v>9.9</v>
      </c>
      <c r="K669">
        <v>12</v>
      </c>
      <c r="L669">
        <v>24</v>
      </c>
      <c r="M669">
        <v>276</v>
      </c>
      <c r="O669">
        <f t="shared" si="20"/>
        <v>966</v>
      </c>
      <c r="P669">
        <f t="shared" si="21"/>
        <v>12.25</v>
      </c>
    </row>
    <row r="670" spans="1:16" x14ac:dyDescent="0.25">
      <c r="A670">
        <v>2014</v>
      </c>
      <c r="B670" t="s">
        <v>506</v>
      </c>
      <c r="C670" t="s">
        <v>541</v>
      </c>
      <c r="D670" t="s">
        <v>64</v>
      </c>
      <c r="E670">
        <v>3</v>
      </c>
      <c r="F670">
        <v>6</v>
      </c>
      <c r="G670" t="s">
        <v>360</v>
      </c>
      <c r="H670" t="s">
        <v>50</v>
      </c>
      <c r="I670">
        <v>13.4</v>
      </c>
      <c r="J670">
        <v>10.199999999999999</v>
      </c>
      <c r="K670">
        <v>12</v>
      </c>
      <c r="L670">
        <v>24</v>
      </c>
      <c r="M670">
        <v>324</v>
      </c>
      <c r="O670">
        <f t="shared" si="20"/>
        <v>972</v>
      </c>
      <c r="P670">
        <f t="shared" si="21"/>
        <v>9</v>
      </c>
    </row>
    <row r="671" spans="1:16" x14ac:dyDescent="0.25">
      <c r="A671">
        <v>2014</v>
      </c>
      <c r="B671" t="s">
        <v>506</v>
      </c>
      <c r="C671" t="s">
        <v>552</v>
      </c>
      <c r="D671" t="s">
        <v>56</v>
      </c>
      <c r="E671">
        <v>4.7</v>
      </c>
      <c r="F671">
        <v>8</v>
      </c>
      <c r="G671" t="s">
        <v>360</v>
      </c>
      <c r="H671" t="s">
        <v>17</v>
      </c>
      <c r="I671">
        <v>14.2</v>
      </c>
      <c r="J671">
        <v>9.4</v>
      </c>
      <c r="K671">
        <v>12</v>
      </c>
      <c r="L671">
        <v>24</v>
      </c>
      <c r="M671">
        <v>276</v>
      </c>
      <c r="O671">
        <f t="shared" si="20"/>
        <v>1297.2</v>
      </c>
      <c r="P671">
        <f t="shared" si="21"/>
        <v>22.090000000000003</v>
      </c>
    </row>
    <row r="672" spans="1:16" x14ac:dyDescent="0.25">
      <c r="A672">
        <v>2014</v>
      </c>
      <c r="B672" t="s">
        <v>618</v>
      </c>
      <c r="C672" t="s">
        <v>634</v>
      </c>
      <c r="D672" t="s">
        <v>64</v>
      </c>
      <c r="E672">
        <v>3.6</v>
      </c>
      <c r="F672">
        <v>6</v>
      </c>
      <c r="G672" t="s">
        <v>53</v>
      </c>
      <c r="H672" t="s">
        <v>17</v>
      </c>
      <c r="I672">
        <v>13.6</v>
      </c>
      <c r="J672">
        <v>10.1</v>
      </c>
      <c r="K672">
        <v>12</v>
      </c>
      <c r="L672">
        <v>24</v>
      </c>
      <c r="M672">
        <v>276</v>
      </c>
      <c r="O672">
        <f t="shared" si="20"/>
        <v>993.6</v>
      </c>
      <c r="P672">
        <f t="shared" si="21"/>
        <v>12.96</v>
      </c>
    </row>
    <row r="673" spans="1:16" x14ac:dyDescent="0.25">
      <c r="A673">
        <v>2014</v>
      </c>
      <c r="B673" t="s">
        <v>90</v>
      </c>
      <c r="C673" t="s">
        <v>139</v>
      </c>
      <c r="D673" t="s">
        <v>37</v>
      </c>
      <c r="E673">
        <v>3</v>
      </c>
      <c r="F673">
        <v>6</v>
      </c>
      <c r="G673" t="s">
        <v>38</v>
      </c>
      <c r="H673" t="s">
        <v>17</v>
      </c>
      <c r="I673">
        <v>13.7</v>
      </c>
      <c r="J673">
        <v>10.1</v>
      </c>
      <c r="K673">
        <v>12.1</v>
      </c>
      <c r="L673">
        <v>23</v>
      </c>
      <c r="M673">
        <v>278</v>
      </c>
      <c r="O673">
        <f t="shared" si="20"/>
        <v>834</v>
      </c>
      <c r="P673">
        <f t="shared" si="21"/>
        <v>9</v>
      </c>
    </row>
    <row r="674" spans="1:16" x14ac:dyDescent="0.25">
      <c r="A674">
        <v>2014</v>
      </c>
      <c r="B674" t="s">
        <v>90</v>
      </c>
      <c r="C674" t="s">
        <v>140</v>
      </c>
      <c r="D674" t="s">
        <v>37</v>
      </c>
      <c r="E674">
        <v>3</v>
      </c>
      <c r="F674">
        <v>6</v>
      </c>
      <c r="G674" t="s">
        <v>38</v>
      </c>
      <c r="H674" t="s">
        <v>17</v>
      </c>
      <c r="I674">
        <v>13.7</v>
      </c>
      <c r="J674">
        <v>10.1</v>
      </c>
      <c r="K674">
        <v>12.1</v>
      </c>
      <c r="L674">
        <v>23</v>
      </c>
      <c r="M674">
        <v>278</v>
      </c>
      <c r="O674">
        <f t="shared" si="20"/>
        <v>834</v>
      </c>
      <c r="P674">
        <f t="shared" si="21"/>
        <v>9</v>
      </c>
    </row>
    <row r="675" spans="1:16" x14ac:dyDescent="0.25">
      <c r="A675">
        <v>2014</v>
      </c>
      <c r="B675" t="s">
        <v>232</v>
      </c>
      <c r="C675" t="s">
        <v>252</v>
      </c>
      <c r="D675" t="s">
        <v>64</v>
      </c>
      <c r="E675">
        <v>3.6</v>
      </c>
      <c r="F675">
        <v>6</v>
      </c>
      <c r="G675" t="s">
        <v>53</v>
      </c>
      <c r="H675" t="s">
        <v>143</v>
      </c>
      <c r="I675">
        <v>13.9</v>
      </c>
      <c r="J675">
        <v>9.8000000000000007</v>
      </c>
      <c r="K675">
        <v>12.1</v>
      </c>
      <c r="L675">
        <v>23</v>
      </c>
      <c r="M675">
        <v>278</v>
      </c>
      <c r="O675">
        <f t="shared" si="20"/>
        <v>1000.8000000000001</v>
      </c>
      <c r="P675">
        <f t="shared" si="21"/>
        <v>12.96</v>
      </c>
    </row>
    <row r="676" spans="1:16" x14ac:dyDescent="0.25">
      <c r="A676">
        <v>2014</v>
      </c>
      <c r="B676" t="s">
        <v>265</v>
      </c>
      <c r="C676" t="s">
        <v>289</v>
      </c>
      <c r="D676" t="s">
        <v>64</v>
      </c>
      <c r="E676">
        <v>3.5</v>
      </c>
      <c r="F676">
        <v>6</v>
      </c>
      <c r="G676" t="s">
        <v>23</v>
      </c>
      <c r="H676" t="s">
        <v>143</v>
      </c>
      <c r="I676">
        <v>13.7</v>
      </c>
      <c r="J676">
        <v>10.199999999999999</v>
      </c>
      <c r="K676">
        <v>12.1</v>
      </c>
      <c r="L676">
        <v>23</v>
      </c>
      <c r="M676">
        <v>278</v>
      </c>
      <c r="O676">
        <f t="shared" si="20"/>
        <v>973</v>
      </c>
      <c r="P676">
        <f t="shared" si="21"/>
        <v>12.25</v>
      </c>
    </row>
    <row r="677" spans="1:16" x14ac:dyDescent="0.25">
      <c r="A677">
        <v>2014</v>
      </c>
      <c r="B677" t="s">
        <v>396</v>
      </c>
      <c r="C677" t="s">
        <v>407</v>
      </c>
      <c r="D677" t="s">
        <v>64</v>
      </c>
      <c r="E677">
        <v>3.6</v>
      </c>
      <c r="F677">
        <v>6</v>
      </c>
      <c r="G677" t="s">
        <v>53</v>
      </c>
      <c r="H677" t="s">
        <v>143</v>
      </c>
      <c r="I677">
        <v>13.9</v>
      </c>
      <c r="J677">
        <v>9.8000000000000007</v>
      </c>
      <c r="K677">
        <v>12.1</v>
      </c>
      <c r="L677">
        <v>23</v>
      </c>
      <c r="M677">
        <v>278</v>
      </c>
      <c r="O677">
        <f t="shared" si="20"/>
        <v>1000.8000000000001</v>
      </c>
      <c r="P677">
        <f t="shared" si="21"/>
        <v>12.96</v>
      </c>
    </row>
    <row r="678" spans="1:16" x14ac:dyDescent="0.25">
      <c r="A678">
        <v>2014</v>
      </c>
      <c r="B678" t="s">
        <v>506</v>
      </c>
      <c r="C678" t="s">
        <v>547</v>
      </c>
      <c r="D678" t="s">
        <v>64</v>
      </c>
      <c r="E678">
        <v>3.5</v>
      </c>
      <c r="F678">
        <v>6</v>
      </c>
      <c r="G678" t="s">
        <v>360</v>
      </c>
      <c r="H678" t="s">
        <v>17</v>
      </c>
      <c r="I678">
        <v>13.4</v>
      </c>
      <c r="J678">
        <v>10.5</v>
      </c>
      <c r="K678">
        <v>12.1</v>
      </c>
      <c r="L678">
        <v>23</v>
      </c>
      <c r="M678">
        <v>278</v>
      </c>
      <c r="O678">
        <f t="shared" si="20"/>
        <v>973</v>
      </c>
      <c r="P678">
        <f t="shared" si="21"/>
        <v>12.25</v>
      </c>
    </row>
    <row r="679" spans="1:16" x14ac:dyDescent="0.25">
      <c r="A679">
        <v>2014</v>
      </c>
      <c r="B679" t="s">
        <v>506</v>
      </c>
      <c r="C679" t="s">
        <v>551</v>
      </c>
      <c r="D679" t="s">
        <v>56</v>
      </c>
      <c r="E679">
        <v>4.7</v>
      </c>
      <c r="F679">
        <v>8</v>
      </c>
      <c r="G679" t="s">
        <v>360</v>
      </c>
      <c r="H679" t="s">
        <v>17</v>
      </c>
      <c r="I679">
        <v>14.3</v>
      </c>
      <c r="J679">
        <v>9.5</v>
      </c>
      <c r="K679">
        <v>12.1</v>
      </c>
      <c r="L679">
        <v>23</v>
      </c>
      <c r="M679">
        <v>278</v>
      </c>
      <c r="O679">
        <f t="shared" si="20"/>
        <v>1306.6000000000001</v>
      </c>
      <c r="P679">
        <f t="shared" si="21"/>
        <v>22.090000000000003</v>
      </c>
    </row>
    <row r="680" spans="1:16" x14ac:dyDescent="0.25">
      <c r="A680">
        <v>2014</v>
      </c>
      <c r="B680" t="s">
        <v>723</v>
      </c>
      <c r="C680" t="s">
        <v>738</v>
      </c>
      <c r="D680" t="s">
        <v>231</v>
      </c>
      <c r="E680">
        <v>3.6</v>
      </c>
      <c r="F680">
        <v>6</v>
      </c>
      <c r="G680" t="s">
        <v>33</v>
      </c>
      <c r="H680" t="s">
        <v>143</v>
      </c>
      <c r="I680">
        <v>14.2</v>
      </c>
      <c r="J680">
        <v>9.5</v>
      </c>
      <c r="K680">
        <v>12.1</v>
      </c>
      <c r="L680">
        <v>23</v>
      </c>
      <c r="M680">
        <v>278</v>
      </c>
      <c r="O680">
        <f t="shared" si="20"/>
        <v>1000.8000000000001</v>
      </c>
      <c r="P680">
        <f t="shared" si="21"/>
        <v>12.96</v>
      </c>
    </row>
    <row r="681" spans="1:16" x14ac:dyDescent="0.25">
      <c r="A681">
        <v>2014</v>
      </c>
      <c r="B681" t="s">
        <v>41</v>
      </c>
      <c r="C681" t="s">
        <v>75</v>
      </c>
      <c r="D681" t="s">
        <v>26</v>
      </c>
      <c r="E681">
        <v>4</v>
      </c>
      <c r="F681">
        <v>8</v>
      </c>
      <c r="G681" t="s">
        <v>67</v>
      </c>
      <c r="H681" t="s">
        <v>17</v>
      </c>
      <c r="I681">
        <v>14.2</v>
      </c>
      <c r="J681">
        <v>9.6999999999999993</v>
      </c>
      <c r="K681">
        <v>12.2</v>
      </c>
      <c r="L681">
        <v>23</v>
      </c>
      <c r="M681">
        <v>281</v>
      </c>
      <c r="O681">
        <f t="shared" si="20"/>
        <v>1124</v>
      </c>
      <c r="P681">
        <f t="shared" si="21"/>
        <v>16</v>
      </c>
    </row>
    <row r="682" spans="1:16" x14ac:dyDescent="0.25">
      <c r="A682">
        <v>2014</v>
      </c>
      <c r="B682" t="s">
        <v>41</v>
      </c>
      <c r="C682" t="s">
        <v>76</v>
      </c>
      <c r="D682" t="s">
        <v>26</v>
      </c>
      <c r="E682">
        <v>4</v>
      </c>
      <c r="F682">
        <v>8</v>
      </c>
      <c r="G682" t="s">
        <v>67</v>
      </c>
      <c r="H682" t="s">
        <v>17</v>
      </c>
      <c r="I682">
        <v>14.2</v>
      </c>
      <c r="J682">
        <v>9.6999999999999993</v>
      </c>
      <c r="K682">
        <v>12.2</v>
      </c>
      <c r="L682">
        <v>23</v>
      </c>
      <c r="M682">
        <v>281</v>
      </c>
      <c r="O682">
        <f t="shared" si="20"/>
        <v>1124</v>
      </c>
      <c r="P682">
        <f t="shared" si="21"/>
        <v>16</v>
      </c>
    </row>
    <row r="683" spans="1:16" x14ac:dyDescent="0.25">
      <c r="A683">
        <v>2014</v>
      </c>
      <c r="B683" t="s">
        <v>90</v>
      </c>
      <c r="C683" t="s">
        <v>111</v>
      </c>
      <c r="D683" t="s">
        <v>26</v>
      </c>
      <c r="E683">
        <v>4.4000000000000004</v>
      </c>
      <c r="F683">
        <v>8</v>
      </c>
      <c r="G683" t="s">
        <v>53</v>
      </c>
      <c r="H683" t="s">
        <v>17</v>
      </c>
      <c r="I683">
        <v>14.4</v>
      </c>
      <c r="J683">
        <v>9.6</v>
      </c>
      <c r="K683">
        <v>12.2</v>
      </c>
      <c r="L683">
        <v>23</v>
      </c>
      <c r="M683">
        <v>281</v>
      </c>
      <c r="O683">
        <f t="shared" si="20"/>
        <v>1236.4000000000001</v>
      </c>
      <c r="P683">
        <f t="shared" si="21"/>
        <v>19.360000000000003</v>
      </c>
    </row>
    <row r="684" spans="1:16" x14ac:dyDescent="0.25">
      <c r="A684">
        <v>2014</v>
      </c>
      <c r="B684" t="s">
        <v>90</v>
      </c>
      <c r="C684" t="s">
        <v>115</v>
      </c>
      <c r="D684" t="s">
        <v>15</v>
      </c>
      <c r="E684">
        <v>4.4000000000000004</v>
      </c>
      <c r="F684">
        <v>8</v>
      </c>
      <c r="G684" t="s">
        <v>53</v>
      </c>
      <c r="H684" t="s">
        <v>17</v>
      </c>
      <c r="I684">
        <v>14.4</v>
      </c>
      <c r="J684">
        <v>9.6</v>
      </c>
      <c r="K684">
        <v>12.2</v>
      </c>
      <c r="L684">
        <v>23</v>
      </c>
      <c r="M684">
        <v>281</v>
      </c>
      <c r="O684">
        <f t="shared" si="20"/>
        <v>1236.4000000000001</v>
      </c>
      <c r="P684">
        <f t="shared" si="21"/>
        <v>19.360000000000003</v>
      </c>
    </row>
    <row r="685" spans="1:16" x14ac:dyDescent="0.25">
      <c r="A685">
        <v>2014</v>
      </c>
      <c r="B685" t="s">
        <v>232</v>
      </c>
      <c r="C685" t="s">
        <v>247</v>
      </c>
      <c r="D685" t="s">
        <v>26</v>
      </c>
      <c r="E685">
        <v>2</v>
      </c>
      <c r="F685">
        <v>4</v>
      </c>
      <c r="G685" t="s">
        <v>33</v>
      </c>
      <c r="H685" t="s">
        <v>148</v>
      </c>
      <c r="I685">
        <v>14.2</v>
      </c>
      <c r="J685">
        <v>9.8000000000000007</v>
      </c>
      <c r="K685">
        <v>12.2</v>
      </c>
      <c r="L685">
        <v>23</v>
      </c>
      <c r="M685">
        <v>195</v>
      </c>
      <c r="O685">
        <f t="shared" si="20"/>
        <v>390</v>
      </c>
      <c r="P685">
        <f t="shared" si="21"/>
        <v>4</v>
      </c>
    </row>
    <row r="686" spans="1:16" x14ac:dyDescent="0.25">
      <c r="A686">
        <v>2014</v>
      </c>
      <c r="B686" t="s">
        <v>265</v>
      </c>
      <c r="C686" t="s">
        <v>272</v>
      </c>
      <c r="D686" t="s">
        <v>22</v>
      </c>
      <c r="E686">
        <v>3.7</v>
      </c>
      <c r="F686">
        <v>6</v>
      </c>
      <c r="G686" t="s">
        <v>23</v>
      </c>
      <c r="H686" t="s">
        <v>143</v>
      </c>
      <c r="I686">
        <v>13.7</v>
      </c>
      <c r="J686">
        <v>10.4</v>
      </c>
      <c r="K686">
        <v>12.2</v>
      </c>
      <c r="L686">
        <v>23</v>
      </c>
      <c r="M686">
        <v>281</v>
      </c>
      <c r="O686">
        <f t="shared" si="20"/>
        <v>1039.7</v>
      </c>
      <c r="P686">
        <f t="shared" si="21"/>
        <v>13.690000000000001</v>
      </c>
    </row>
    <row r="687" spans="1:16" x14ac:dyDescent="0.25">
      <c r="A687">
        <v>2014</v>
      </c>
      <c r="B687" t="s">
        <v>376</v>
      </c>
      <c r="C687" t="s">
        <v>381</v>
      </c>
      <c r="D687" t="s">
        <v>26</v>
      </c>
      <c r="E687">
        <v>3</v>
      </c>
      <c r="F687">
        <v>6</v>
      </c>
      <c r="G687" t="s">
        <v>45</v>
      </c>
      <c r="H687" t="s">
        <v>17</v>
      </c>
      <c r="I687">
        <v>14.7</v>
      </c>
      <c r="J687">
        <v>9.1</v>
      </c>
      <c r="K687">
        <v>12.2</v>
      </c>
      <c r="L687">
        <v>23</v>
      </c>
      <c r="M687">
        <v>281</v>
      </c>
      <c r="O687">
        <f t="shared" si="20"/>
        <v>843</v>
      </c>
      <c r="P687">
        <f t="shared" si="21"/>
        <v>9</v>
      </c>
    </row>
    <row r="688" spans="1:16" x14ac:dyDescent="0.25">
      <c r="A688">
        <v>2014</v>
      </c>
      <c r="B688" t="s">
        <v>473</v>
      </c>
      <c r="C688" t="s">
        <v>477</v>
      </c>
      <c r="D688" t="s">
        <v>305</v>
      </c>
      <c r="E688">
        <v>3.7</v>
      </c>
      <c r="F688">
        <v>6</v>
      </c>
      <c r="G688" t="s">
        <v>33</v>
      </c>
      <c r="H688" t="s">
        <v>143</v>
      </c>
      <c r="I688">
        <v>14</v>
      </c>
      <c r="J688">
        <v>9.9</v>
      </c>
      <c r="K688">
        <v>12.2</v>
      </c>
      <c r="L688">
        <v>23</v>
      </c>
      <c r="M688">
        <v>281</v>
      </c>
      <c r="O688">
        <f t="shared" si="20"/>
        <v>1039.7</v>
      </c>
      <c r="P688">
        <f t="shared" si="21"/>
        <v>13.690000000000001</v>
      </c>
    </row>
    <row r="689" spans="1:16" x14ac:dyDescent="0.25">
      <c r="A689">
        <v>2014</v>
      </c>
      <c r="B689" t="s">
        <v>473</v>
      </c>
      <c r="C689" t="s">
        <v>478</v>
      </c>
      <c r="D689" t="s">
        <v>22</v>
      </c>
      <c r="E689">
        <v>3.7</v>
      </c>
      <c r="F689">
        <v>6</v>
      </c>
      <c r="G689" t="s">
        <v>23</v>
      </c>
      <c r="H689" t="s">
        <v>143</v>
      </c>
      <c r="I689">
        <v>13.7</v>
      </c>
      <c r="J689">
        <v>10.4</v>
      </c>
      <c r="K689">
        <v>12.2</v>
      </c>
      <c r="L689">
        <v>23</v>
      </c>
      <c r="M689">
        <v>281</v>
      </c>
      <c r="O689">
        <f t="shared" si="20"/>
        <v>1039.7</v>
      </c>
      <c r="P689">
        <f t="shared" si="21"/>
        <v>13.690000000000001</v>
      </c>
    </row>
    <row r="690" spans="1:16" x14ac:dyDescent="0.25">
      <c r="A690">
        <v>2014</v>
      </c>
      <c r="B690" t="s">
        <v>723</v>
      </c>
      <c r="C690" t="s">
        <v>741</v>
      </c>
      <c r="D690" t="s">
        <v>64</v>
      </c>
      <c r="E690">
        <v>3.6</v>
      </c>
      <c r="F690">
        <v>6</v>
      </c>
      <c r="G690" t="s">
        <v>45</v>
      </c>
      <c r="H690" t="s">
        <v>17</v>
      </c>
      <c r="I690">
        <v>13.8</v>
      </c>
      <c r="J690">
        <v>10.3</v>
      </c>
      <c r="K690">
        <v>12.2</v>
      </c>
      <c r="L690">
        <v>23</v>
      </c>
      <c r="M690">
        <v>281</v>
      </c>
      <c r="O690">
        <f t="shared" si="20"/>
        <v>1011.6</v>
      </c>
      <c r="P690">
        <f t="shared" si="21"/>
        <v>12.96</v>
      </c>
    </row>
    <row r="691" spans="1:16" x14ac:dyDescent="0.25">
      <c r="A691">
        <v>2014</v>
      </c>
      <c r="B691" t="s">
        <v>141</v>
      </c>
      <c r="C691" t="s">
        <v>142</v>
      </c>
      <c r="D691" t="s">
        <v>64</v>
      </c>
      <c r="E691">
        <v>3.6</v>
      </c>
      <c r="F691">
        <v>6</v>
      </c>
      <c r="G691" t="s">
        <v>33</v>
      </c>
      <c r="H691" t="s">
        <v>143</v>
      </c>
      <c r="I691">
        <v>14.3</v>
      </c>
      <c r="J691">
        <v>9.9</v>
      </c>
      <c r="K691">
        <v>12.3</v>
      </c>
      <c r="L691">
        <v>23</v>
      </c>
      <c r="M691">
        <v>283</v>
      </c>
      <c r="O691">
        <f t="shared" si="20"/>
        <v>1018.8000000000001</v>
      </c>
      <c r="P691">
        <f t="shared" si="21"/>
        <v>12.96</v>
      </c>
    </row>
    <row r="692" spans="1:16" x14ac:dyDescent="0.25">
      <c r="A692">
        <v>2014</v>
      </c>
      <c r="B692" t="s">
        <v>155</v>
      </c>
      <c r="C692" t="s">
        <v>170</v>
      </c>
      <c r="D692" t="s">
        <v>64</v>
      </c>
      <c r="E692">
        <v>3.6</v>
      </c>
      <c r="F692">
        <v>6</v>
      </c>
      <c r="G692" t="s">
        <v>23</v>
      </c>
      <c r="H692" t="s">
        <v>143</v>
      </c>
      <c r="I692">
        <v>14.3</v>
      </c>
      <c r="J692">
        <v>9.8000000000000007</v>
      </c>
      <c r="K692">
        <v>12.3</v>
      </c>
      <c r="L692">
        <v>23</v>
      </c>
      <c r="M692">
        <v>283</v>
      </c>
      <c r="O692">
        <f t="shared" si="20"/>
        <v>1018.8000000000001</v>
      </c>
      <c r="P692">
        <f t="shared" si="21"/>
        <v>12.96</v>
      </c>
    </row>
    <row r="693" spans="1:16" x14ac:dyDescent="0.25">
      <c r="A693">
        <v>2014</v>
      </c>
      <c r="B693" t="s">
        <v>175</v>
      </c>
      <c r="C693" t="s">
        <v>214</v>
      </c>
      <c r="D693" t="s">
        <v>64</v>
      </c>
      <c r="E693">
        <v>3.6</v>
      </c>
      <c r="F693">
        <v>6</v>
      </c>
      <c r="G693" t="s">
        <v>33</v>
      </c>
      <c r="H693" t="s">
        <v>143</v>
      </c>
      <c r="I693">
        <v>14.3</v>
      </c>
      <c r="J693">
        <v>9.9</v>
      </c>
      <c r="K693">
        <v>12.3</v>
      </c>
      <c r="L693">
        <v>23</v>
      </c>
      <c r="M693">
        <v>283</v>
      </c>
      <c r="O693">
        <f t="shared" si="20"/>
        <v>1018.8000000000001</v>
      </c>
      <c r="P693">
        <f t="shared" si="21"/>
        <v>12.96</v>
      </c>
    </row>
    <row r="694" spans="1:16" x14ac:dyDescent="0.25">
      <c r="A694">
        <v>2014</v>
      </c>
      <c r="B694" t="s">
        <v>265</v>
      </c>
      <c r="C694" t="s">
        <v>282</v>
      </c>
      <c r="D694" t="s">
        <v>202</v>
      </c>
      <c r="E694">
        <v>3.7</v>
      </c>
      <c r="F694">
        <v>6</v>
      </c>
      <c r="G694" t="s">
        <v>33</v>
      </c>
      <c r="H694" t="s">
        <v>143</v>
      </c>
      <c r="I694">
        <v>14</v>
      </c>
      <c r="J694">
        <v>10.3</v>
      </c>
      <c r="K694">
        <v>12.3</v>
      </c>
      <c r="L694">
        <v>23</v>
      </c>
      <c r="M694">
        <v>283</v>
      </c>
      <c r="O694">
        <f t="shared" si="20"/>
        <v>1047.1000000000001</v>
      </c>
      <c r="P694">
        <f t="shared" si="21"/>
        <v>13.690000000000001</v>
      </c>
    </row>
    <row r="695" spans="1:16" x14ac:dyDescent="0.25">
      <c r="A695">
        <v>2014</v>
      </c>
      <c r="B695" t="s">
        <v>265</v>
      </c>
      <c r="C695" t="s">
        <v>282</v>
      </c>
      <c r="D695" t="s">
        <v>202</v>
      </c>
      <c r="E695">
        <v>3.7</v>
      </c>
      <c r="F695">
        <v>6</v>
      </c>
      <c r="G695" t="s">
        <v>23</v>
      </c>
      <c r="H695" t="s">
        <v>143</v>
      </c>
      <c r="I695">
        <v>14</v>
      </c>
      <c r="J695">
        <v>10.3</v>
      </c>
      <c r="K695">
        <v>12.3</v>
      </c>
      <c r="L695">
        <v>23</v>
      </c>
      <c r="M695">
        <v>283</v>
      </c>
      <c r="O695">
        <f t="shared" si="20"/>
        <v>1047.1000000000001</v>
      </c>
      <c r="P695">
        <f t="shared" si="21"/>
        <v>13.690000000000001</v>
      </c>
    </row>
    <row r="696" spans="1:16" x14ac:dyDescent="0.25">
      <c r="A696">
        <v>2014</v>
      </c>
      <c r="B696" t="s">
        <v>308</v>
      </c>
      <c r="C696" t="s">
        <v>309</v>
      </c>
      <c r="D696" t="s">
        <v>64</v>
      </c>
      <c r="E696">
        <v>3.6</v>
      </c>
      <c r="F696">
        <v>6</v>
      </c>
      <c r="G696" t="s">
        <v>33</v>
      </c>
      <c r="H696" t="s">
        <v>143</v>
      </c>
      <c r="I696">
        <v>14.3</v>
      </c>
      <c r="J696">
        <v>9.9</v>
      </c>
      <c r="K696">
        <v>12.3</v>
      </c>
      <c r="L696">
        <v>23</v>
      </c>
      <c r="M696">
        <v>283</v>
      </c>
      <c r="O696">
        <f t="shared" si="20"/>
        <v>1018.8000000000001</v>
      </c>
      <c r="P696">
        <f t="shared" si="21"/>
        <v>12.96</v>
      </c>
    </row>
    <row r="697" spans="1:16" x14ac:dyDescent="0.25">
      <c r="A697">
        <v>2014</v>
      </c>
      <c r="B697" t="s">
        <v>358</v>
      </c>
      <c r="C697" t="s">
        <v>365</v>
      </c>
      <c r="D697" t="s">
        <v>35</v>
      </c>
      <c r="E697">
        <v>3.7</v>
      </c>
      <c r="F697">
        <v>6</v>
      </c>
      <c r="G697" t="s">
        <v>18</v>
      </c>
      <c r="H697" t="s">
        <v>17</v>
      </c>
      <c r="I697">
        <v>14.3</v>
      </c>
      <c r="J697">
        <v>9.8000000000000007</v>
      </c>
      <c r="K697">
        <v>12.3</v>
      </c>
      <c r="L697">
        <v>23</v>
      </c>
      <c r="M697">
        <v>283</v>
      </c>
      <c r="O697">
        <f t="shared" si="20"/>
        <v>1047.1000000000001</v>
      </c>
      <c r="P697">
        <f t="shared" si="21"/>
        <v>13.690000000000001</v>
      </c>
    </row>
    <row r="698" spans="1:16" x14ac:dyDescent="0.25">
      <c r="A698">
        <v>2014</v>
      </c>
      <c r="B698" t="s">
        <v>358</v>
      </c>
      <c r="C698" t="s">
        <v>367</v>
      </c>
      <c r="D698" t="s">
        <v>26</v>
      </c>
      <c r="E698">
        <v>5.6</v>
      </c>
      <c r="F698">
        <v>8</v>
      </c>
      <c r="G698" t="s">
        <v>360</v>
      </c>
      <c r="H698" t="s">
        <v>17</v>
      </c>
      <c r="I698">
        <v>14.5</v>
      </c>
      <c r="J698">
        <v>9.5</v>
      </c>
      <c r="K698">
        <v>12.3</v>
      </c>
      <c r="L698">
        <v>23</v>
      </c>
      <c r="M698">
        <v>283</v>
      </c>
      <c r="O698">
        <f t="shared" si="20"/>
        <v>1584.8</v>
      </c>
      <c r="P698">
        <f t="shared" si="21"/>
        <v>31.359999999999996</v>
      </c>
    </row>
    <row r="699" spans="1:16" x14ac:dyDescent="0.25">
      <c r="A699">
        <v>2014</v>
      </c>
      <c r="B699" t="s">
        <v>434</v>
      </c>
      <c r="C699" t="s">
        <v>446</v>
      </c>
      <c r="D699" t="s">
        <v>64</v>
      </c>
      <c r="E699">
        <v>3</v>
      </c>
      <c r="F699">
        <v>6</v>
      </c>
      <c r="G699" t="s">
        <v>45</v>
      </c>
      <c r="H699" t="s">
        <v>17</v>
      </c>
      <c r="I699">
        <v>14.1</v>
      </c>
      <c r="J699">
        <v>10.1</v>
      </c>
      <c r="K699">
        <v>12.3</v>
      </c>
      <c r="L699">
        <v>23</v>
      </c>
      <c r="M699">
        <v>283</v>
      </c>
      <c r="O699">
        <f t="shared" si="20"/>
        <v>849</v>
      </c>
      <c r="P699">
        <f t="shared" si="21"/>
        <v>9</v>
      </c>
    </row>
    <row r="700" spans="1:16" x14ac:dyDescent="0.25">
      <c r="A700">
        <v>2014</v>
      </c>
      <c r="B700" t="s">
        <v>434</v>
      </c>
      <c r="C700" t="s">
        <v>447</v>
      </c>
      <c r="D700" t="s">
        <v>64</v>
      </c>
      <c r="E700">
        <v>3</v>
      </c>
      <c r="F700">
        <v>6</v>
      </c>
      <c r="G700" t="s">
        <v>45</v>
      </c>
      <c r="H700" t="s">
        <v>17</v>
      </c>
      <c r="I700">
        <v>14.1</v>
      </c>
      <c r="J700">
        <v>10.1</v>
      </c>
      <c r="K700">
        <v>12.3</v>
      </c>
      <c r="L700">
        <v>23</v>
      </c>
      <c r="M700">
        <v>283</v>
      </c>
      <c r="O700">
        <f t="shared" si="20"/>
        <v>849</v>
      </c>
      <c r="P700">
        <f t="shared" si="21"/>
        <v>9</v>
      </c>
    </row>
    <row r="701" spans="1:16" x14ac:dyDescent="0.25">
      <c r="A701">
        <v>2014</v>
      </c>
      <c r="B701" t="s">
        <v>450</v>
      </c>
      <c r="C701" t="s">
        <v>466</v>
      </c>
      <c r="D701" t="s">
        <v>26</v>
      </c>
      <c r="E701">
        <v>4.5999999999999996</v>
      </c>
      <c r="F701">
        <v>8</v>
      </c>
      <c r="G701" t="s">
        <v>45</v>
      </c>
      <c r="H701" t="s">
        <v>17</v>
      </c>
      <c r="I701">
        <v>14.5</v>
      </c>
      <c r="J701">
        <v>9.6</v>
      </c>
      <c r="K701">
        <v>12.3</v>
      </c>
      <c r="L701">
        <v>23</v>
      </c>
      <c r="M701">
        <v>283</v>
      </c>
      <c r="O701">
        <f t="shared" si="20"/>
        <v>1301.8</v>
      </c>
      <c r="P701">
        <f t="shared" si="21"/>
        <v>21.159999999999997</v>
      </c>
    </row>
    <row r="702" spans="1:16" x14ac:dyDescent="0.25">
      <c r="A702">
        <v>2014</v>
      </c>
      <c r="B702" t="s">
        <v>490</v>
      </c>
      <c r="C702" t="s">
        <v>493</v>
      </c>
      <c r="D702" t="s">
        <v>22</v>
      </c>
      <c r="E702">
        <v>3.7</v>
      </c>
      <c r="F702">
        <v>6</v>
      </c>
      <c r="G702" t="s">
        <v>23</v>
      </c>
      <c r="H702" t="s">
        <v>143</v>
      </c>
      <c r="I702">
        <v>14.2</v>
      </c>
      <c r="J702">
        <v>10</v>
      </c>
      <c r="K702">
        <v>12.3</v>
      </c>
      <c r="L702">
        <v>23</v>
      </c>
      <c r="M702">
        <v>283</v>
      </c>
      <c r="O702">
        <f t="shared" si="20"/>
        <v>1047.1000000000001</v>
      </c>
      <c r="P702">
        <f t="shared" si="21"/>
        <v>13.690000000000001</v>
      </c>
    </row>
    <row r="703" spans="1:16" x14ac:dyDescent="0.25">
      <c r="A703">
        <v>2014</v>
      </c>
      <c r="B703" t="s">
        <v>582</v>
      </c>
      <c r="C703" t="s">
        <v>585</v>
      </c>
      <c r="D703" t="s">
        <v>15</v>
      </c>
      <c r="E703">
        <v>2</v>
      </c>
      <c r="F703">
        <v>4</v>
      </c>
      <c r="G703" t="s">
        <v>126</v>
      </c>
      <c r="H703" t="s">
        <v>17</v>
      </c>
      <c r="I703">
        <v>14</v>
      </c>
      <c r="J703">
        <v>10.3</v>
      </c>
      <c r="K703">
        <v>12.3</v>
      </c>
      <c r="L703">
        <v>23</v>
      </c>
      <c r="M703">
        <v>283</v>
      </c>
      <c r="O703">
        <f t="shared" si="20"/>
        <v>566</v>
      </c>
      <c r="P703">
        <f t="shared" si="21"/>
        <v>4</v>
      </c>
    </row>
    <row r="704" spans="1:16" x14ac:dyDescent="0.25">
      <c r="A704">
        <v>2014</v>
      </c>
      <c r="B704" t="s">
        <v>593</v>
      </c>
      <c r="C704" t="s">
        <v>598</v>
      </c>
      <c r="D704" t="s">
        <v>599</v>
      </c>
      <c r="E704">
        <v>2.5</v>
      </c>
      <c r="F704">
        <v>4</v>
      </c>
      <c r="G704" t="s">
        <v>224</v>
      </c>
      <c r="H704" t="s">
        <v>143</v>
      </c>
      <c r="I704">
        <v>13.7</v>
      </c>
      <c r="J704">
        <v>10.6</v>
      </c>
      <c r="K704">
        <v>12.3</v>
      </c>
      <c r="L704">
        <v>23</v>
      </c>
      <c r="M704">
        <v>283</v>
      </c>
      <c r="O704">
        <f t="shared" si="20"/>
        <v>707.5</v>
      </c>
      <c r="P704">
        <f t="shared" si="21"/>
        <v>6.25</v>
      </c>
    </row>
    <row r="705" spans="1:16" x14ac:dyDescent="0.25">
      <c r="A705">
        <v>2014</v>
      </c>
      <c r="B705" t="s">
        <v>723</v>
      </c>
      <c r="C705" t="s">
        <v>728</v>
      </c>
      <c r="D705" t="s">
        <v>15</v>
      </c>
      <c r="E705">
        <v>3.6</v>
      </c>
      <c r="F705">
        <v>6</v>
      </c>
      <c r="G705" t="s">
        <v>33</v>
      </c>
      <c r="H705" t="s">
        <v>17</v>
      </c>
      <c r="I705">
        <v>14.3</v>
      </c>
      <c r="J705">
        <v>9.8000000000000007</v>
      </c>
      <c r="K705">
        <v>12.3</v>
      </c>
      <c r="L705">
        <v>23</v>
      </c>
      <c r="M705">
        <v>283</v>
      </c>
      <c r="O705">
        <f t="shared" si="20"/>
        <v>1018.8000000000001</v>
      </c>
      <c r="P705">
        <f t="shared" si="21"/>
        <v>12.96</v>
      </c>
    </row>
    <row r="706" spans="1:16" x14ac:dyDescent="0.25">
      <c r="A706">
        <v>2014</v>
      </c>
      <c r="B706" t="s">
        <v>41</v>
      </c>
      <c r="C706" t="s">
        <v>72</v>
      </c>
      <c r="D706" t="s">
        <v>15</v>
      </c>
      <c r="E706">
        <v>3</v>
      </c>
      <c r="F706">
        <v>6</v>
      </c>
      <c r="G706" t="s">
        <v>18</v>
      </c>
      <c r="H706" t="s">
        <v>17</v>
      </c>
      <c r="I706">
        <v>14.6</v>
      </c>
      <c r="J706">
        <v>9.8000000000000007</v>
      </c>
      <c r="K706">
        <v>12.4</v>
      </c>
      <c r="L706">
        <v>23</v>
      </c>
      <c r="M706">
        <v>285</v>
      </c>
      <c r="O706">
        <f t="shared" si="20"/>
        <v>855</v>
      </c>
      <c r="P706">
        <f t="shared" si="21"/>
        <v>9</v>
      </c>
    </row>
    <row r="707" spans="1:16" x14ac:dyDescent="0.25">
      <c r="A707">
        <v>2014</v>
      </c>
      <c r="B707" t="s">
        <v>41</v>
      </c>
      <c r="C707" t="s">
        <v>73</v>
      </c>
      <c r="D707" t="s">
        <v>35</v>
      </c>
      <c r="E707">
        <v>3</v>
      </c>
      <c r="F707">
        <v>6</v>
      </c>
      <c r="G707" t="s">
        <v>18</v>
      </c>
      <c r="H707" t="s">
        <v>17</v>
      </c>
      <c r="I707">
        <v>14.6</v>
      </c>
      <c r="J707">
        <v>9.8000000000000007</v>
      </c>
      <c r="K707">
        <v>12.4</v>
      </c>
      <c r="L707">
        <v>23</v>
      </c>
      <c r="M707">
        <v>285</v>
      </c>
      <c r="O707">
        <f t="shared" ref="O707:O770" si="22">M707*E707</f>
        <v>855</v>
      </c>
      <c r="P707">
        <f t="shared" ref="P707:P770" si="23">E707*E707</f>
        <v>9</v>
      </c>
    </row>
    <row r="708" spans="1:16" x14ac:dyDescent="0.25">
      <c r="A708">
        <v>2014</v>
      </c>
      <c r="B708" t="s">
        <v>232</v>
      </c>
      <c r="C708" t="s">
        <v>255</v>
      </c>
      <c r="D708" t="s">
        <v>22</v>
      </c>
      <c r="E708">
        <v>3.6</v>
      </c>
      <c r="F708">
        <v>6</v>
      </c>
      <c r="G708" t="s">
        <v>33</v>
      </c>
      <c r="H708" t="s">
        <v>143</v>
      </c>
      <c r="I708">
        <v>14.5</v>
      </c>
      <c r="J708">
        <v>9.9</v>
      </c>
      <c r="K708">
        <v>12.4</v>
      </c>
      <c r="L708">
        <v>23</v>
      </c>
      <c r="M708">
        <v>285</v>
      </c>
      <c r="O708">
        <f t="shared" si="22"/>
        <v>1026</v>
      </c>
      <c r="P708">
        <f t="shared" si="23"/>
        <v>12.96</v>
      </c>
    </row>
    <row r="709" spans="1:16" x14ac:dyDescent="0.25">
      <c r="A709">
        <v>2014</v>
      </c>
      <c r="B709" t="s">
        <v>376</v>
      </c>
      <c r="C709" t="s">
        <v>384</v>
      </c>
      <c r="D709" t="s">
        <v>56</v>
      </c>
      <c r="E709">
        <v>3</v>
      </c>
      <c r="F709">
        <v>6</v>
      </c>
      <c r="G709" t="s">
        <v>45</v>
      </c>
      <c r="H709" t="s">
        <v>17</v>
      </c>
      <c r="I709">
        <v>14.6</v>
      </c>
      <c r="J709">
        <v>9.6</v>
      </c>
      <c r="K709">
        <v>12.4</v>
      </c>
      <c r="L709">
        <v>23</v>
      </c>
      <c r="M709">
        <v>285</v>
      </c>
      <c r="O709">
        <f t="shared" si="22"/>
        <v>855</v>
      </c>
      <c r="P709">
        <f t="shared" si="23"/>
        <v>9</v>
      </c>
    </row>
    <row r="710" spans="1:16" x14ac:dyDescent="0.25">
      <c r="A710">
        <v>2014</v>
      </c>
      <c r="B710" t="s">
        <v>376</v>
      </c>
      <c r="C710" t="s">
        <v>386</v>
      </c>
      <c r="D710" t="s">
        <v>56</v>
      </c>
      <c r="E710">
        <v>3</v>
      </c>
      <c r="F710">
        <v>6</v>
      </c>
      <c r="G710" t="s">
        <v>45</v>
      </c>
      <c r="H710" t="s">
        <v>17</v>
      </c>
      <c r="I710">
        <v>14.7</v>
      </c>
      <c r="J710">
        <v>9.6</v>
      </c>
      <c r="K710">
        <v>12.4</v>
      </c>
      <c r="L710">
        <v>23</v>
      </c>
      <c r="M710">
        <v>285</v>
      </c>
      <c r="O710">
        <f t="shared" si="22"/>
        <v>855</v>
      </c>
      <c r="P710">
        <f t="shared" si="23"/>
        <v>9</v>
      </c>
    </row>
    <row r="711" spans="1:16" x14ac:dyDescent="0.25">
      <c r="A711">
        <v>2014</v>
      </c>
      <c r="B711" t="s">
        <v>434</v>
      </c>
      <c r="C711" t="s">
        <v>442</v>
      </c>
      <c r="D711" t="s">
        <v>64</v>
      </c>
      <c r="E711">
        <v>3</v>
      </c>
      <c r="F711">
        <v>6</v>
      </c>
      <c r="G711" t="s">
        <v>45</v>
      </c>
      <c r="H711" t="s">
        <v>17</v>
      </c>
      <c r="I711">
        <v>14.2</v>
      </c>
      <c r="J711">
        <v>10.199999999999999</v>
      </c>
      <c r="K711">
        <v>12.4</v>
      </c>
      <c r="L711">
        <v>23</v>
      </c>
      <c r="M711">
        <v>285</v>
      </c>
      <c r="O711">
        <f t="shared" si="22"/>
        <v>855</v>
      </c>
      <c r="P711">
        <f t="shared" si="23"/>
        <v>9</v>
      </c>
    </row>
    <row r="712" spans="1:16" x14ac:dyDescent="0.25">
      <c r="A712">
        <v>2014</v>
      </c>
      <c r="B712" t="s">
        <v>434</v>
      </c>
      <c r="C712" t="s">
        <v>443</v>
      </c>
      <c r="D712" t="s">
        <v>64</v>
      </c>
      <c r="E712">
        <v>3</v>
      </c>
      <c r="F712">
        <v>6</v>
      </c>
      <c r="G712" t="s">
        <v>45</v>
      </c>
      <c r="H712" t="s">
        <v>17</v>
      </c>
      <c r="I712">
        <v>14.2</v>
      </c>
      <c r="J712">
        <v>10.199999999999999</v>
      </c>
      <c r="K712">
        <v>12.4</v>
      </c>
      <c r="L712">
        <v>23</v>
      </c>
      <c r="M712">
        <v>285</v>
      </c>
      <c r="O712">
        <f t="shared" si="22"/>
        <v>855</v>
      </c>
      <c r="P712">
        <f t="shared" si="23"/>
        <v>9</v>
      </c>
    </row>
    <row r="713" spans="1:16" x14ac:dyDescent="0.25">
      <c r="A713">
        <v>2014</v>
      </c>
      <c r="B713" t="s">
        <v>691</v>
      </c>
      <c r="C713" t="s">
        <v>715</v>
      </c>
      <c r="D713" t="s">
        <v>231</v>
      </c>
      <c r="E713">
        <v>3.5</v>
      </c>
      <c r="F713">
        <v>6</v>
      </c>
      <c r="G713" t="s">
        <v>23</v>
      </c>
      <c r="H713" t="s">
        <v>143</v>
      </c>
      <c r="I713">
        <v>14.2</v>
      </c>
      <c r="J713">
        <v>10.3</v>
      </c>
      <c r="K713">
        <v>12.4</v>
      </c>
      <c r="L713">
        <v>23</v>
      </c>
      <c r="M713">
        <v>285</v>
      </c>
      <c r="O713">
        <f t="shared" si="22"/>
        <v>997.5</v>
      </c>
      <c r="P713">
        <f t="shared" si="23"/>
        <v>12.25</v>
      </c>
    </row>
    <row r="714" spans="1:16" x14ac:dyDescent="0.25">
      <c r="A714">
        <v>2014</v>
      </c>
      <c r="B714" t="s">
        <v>41</v>
      </c>
      <c r="C714" t="s">
        <v>55</v>
      </c>
      <c r="D714" t="s">
        <v>56</v>
      </c>
      <c r="E714">
        <v>4</v>
      </c>
      <c r="F714">
        <v>8</v>
      </c>
      <c r="G714" t="s">
        <v>45</v>
      </c>
      <c r="H714" t="s">
        <v>17</v>
      </c>
      <c r="I714">
        <v>14.7</v>
      </c>
      <c r="J714">
        <v>9.6999999999999993</v>
      </c>
      <c r="K714">
        <v>12.5</v>
      </c>
      <c r="L714">
        <v>23</v>
      </c>
      <c r="M714">
        <v>288</v>
      </c>
      <c r="O714">
        <f t="shared" si="22"/>
        <v>1152</v>
      </c>
      <c r="P714">
        <f t="shared" si="23"/>
        <v>16</v>
      </c>
    </row>
    <row r="715" spans="1:16" x14ac:dyDescent="0.25">
      <c r="A715">
        <v>2014</v>
      </c>
      <c r="B715" t="s">
        <v>265</v>
      </c>
      <c r="C715" t="s">
        <v>279</v>
      </c>
      <c r="D715" t="s">
        <v>64</v>
      </c>
      <c r="E715">
        <v>3.5</v>
      </c>
      <c r="F715">
        <v>6</v>
      </c>
      <c r="G715" t="s">
        <v>23</v>
      </c>
      <c r="H715" t="s">
        <v>143</v>
      </c>
      <c r="I715">
        <v>14.3</v>
      </c>
      <c r="J715">
        <v>10.3</v>
      </c>
      <c r="K715">
        <v>12.5</v>
      </c>
      <c r="L715">
        <v>23</v>
      </c>
      <c r="M715">
        <v>288</v>
      </c>
      <c r="O715">
        <f t="shared" si="22"/>
        <v>1008</v>
      </c>
      <c r="P715">
        <f t="shared" si="23"/>
        <v>12.25</v>
      </c>
    </row>
    <row r="716" spans="1:16" x14ac:dyDescent="0.25">
      <c r="A716">
        <v>2014</v>
      </c>
      <c r="B716" t="s">
        <v>582</v>
      </c>
      <c r="C716" t="s">
        <v>585</v>
      </c>
      <c r="D716" t="s">
        <v>15</v>
      </c>
      <c r="E716">
        <v>2</v>
      </c>
      <c r="F716">
        <v>4</v>
      </c>
      <c r="G716" t="s">
        <v>250</v>
      </c>
      <c r="H716" t="s">
        <v>17</v>
      </c>
      <c r="I716">
        <v>14.2</v>
      </c>
      <c r="J716">
        <v>10.5</v>
      </c>
      <c r="K716">
        <v>12.5</v>
      </c>
      <c r="L716">
        <v>23</v>
      </c>
      <c r="M716">
        <v>288</v>
      </c>
      <c r="O716">
        <f t="shared" si="22"/>
        <v>576</v>
      </c>
      <c r="P716">
        <f t="shared" si="23"/>
        <v>4</v>
      </c>
    </row>
    <row r="717" spans="1:16" x14ac:dyDescent="0.25">
      <c r="A717">
        <v>2014</v>
      </c>
      <c r="B717" t="s">
        <v>681</v>
      </c>
      <c r="C717" t="s">
        <v>684</v>
      </c>
      <c r="D717" t="s">
        <v>15</v>
      </c>
      <c r="E717">
        <v>2.5</v>
      </c>
      <c r="F717">
        <v>4</v>
      </c>
      <c r="G717" t="s">
        <v>18</v>
      </c>
      <c r="H717" t="s">
        <v>17</v>
      </c>
      <c r="I717">
        <v>14.2</v>
      </c>
      <c r="J717">
        <v>10.4</v>
      </c>
      <c r="K717">
        <v>12.5</v>
      </c>
      <c r="L717">
        <v>23</v>
      </c>
      <c r="M717">
        <v>288</v>
      </c>
      <c r="O717">
        <f t="shared" si="22"/>
        <v>720</v>
      </c>
      <c r="P717">
        <f t="shared" si="23"/>
        <v>6.25</v>
      </c>
    </row>
    <row r="718" spans="1:16" x14ac:dyDescent="0.25">
      <c r="A718">
        <v>2014</v>
      </c>
      <c r="B718" t="s">
        <v>681</v>
      </c>
      <c r="C718" t="s">
        <v>685</v>
      </c>
      <c r="D718" t="s">
        <v>59</v>
      </c>
      <c r="E718">
        <v>2.5</v>
      </c>
      <c r="F718">
        <v>4</v>
      </c>
      <c r="G718" t="s">
        <v>18</v>
      </c>
      <c r="H718" t="s">
        <v>17</v>
      </c>
      <c r="I718">
        <v>14.2</v>
      </c>
      <c r="J718">
        <v>10.4</v>
      </c>
      <c r="K718">
        <v>12.5</v>
      </c>
      <c r="L718">
        <v>23</v>
      </c>
      <c r="M718">
        <v>288</v>
      </c>
      <c r="O718">
        <f t="shared" si="22"/>
        <v>720</v>
      </c>
      <c r="P718">
        <f t="shared" si="23"/>
        <v>6.25</v>
      </c>
    </row>
    <row r="719" spans="1:16" x14ac:dyDescent="0.25">
      <c r="A719">
        <v>2014</v>
      </c>
      <c r="B719" t="s">
        <v>41</v>
      </c>
      <c r="C719" t="s">
        <v>71</v>
      </c>
      <c r="D719" t="s">
        <v>26</v>
      </c>
      <c r="E719">
        <v>4</v>
      </c>
      <c r="F719">
        <v>8</v>
      </c>
      <c r="G719" t="s">
        <v>45</v>
      </c>
      <c r="H719" t="s">
        <v>17</v>
      </c>
      <c r="I719">
        <v>15.3</v>
      </c>
      <c r="J719">
        <v>9.3000000000000007</v>
      </c>
      <c r="K719">
        <v>12.6</v>
      </c>
      <c r="L719">
        <v>22</v>
      </c>
      <c r="M719">
        <v>290</v>
      </c>
      <c r="O719">
        <f t="shared" si="22"/>
        <v>1160</v>
      </c>
      <c r="P719">
        <f t="shared" si="23"/>
        <v>16</v>
      </c>
    </row>
    <row r="720" spans="1:16" x14ac:dyDescent="0.25">
      <c r="A720">
        <v>2014</v>
      </c>
      <c r="B720" t="s">
        <v>141</v>
      </c>
      <c r="C720" t="s">
        <v>144</v>
      </c>
      <c r="D720" t="s">
        <v>64</v>
      </c>
      <c r="E720">
        <v>3.6</v>
      </c>
      <c r="F720">
        <v>6</v>
      </c>
      <c r="G720" t="s">
        <v>33</v>
      </c>
      <c r="H720" t="s">
        <v>143</v>
      </c>
      <c r="I720">
        <v>14.6</v>
      </c>
      <c r="J720">
        <v>10.199999999999999</v>
      </c>
      <c r="K720">
        <v>12.6</v>
      </c>
      <c r="L720">
        <v>22</v>
      </c>
      <c r="M720">
        <v>290</v>
      </c>
      <c r="O720">
        <f t="shared" si="22"/>
        <v>1044</v>
      </c>
      <c r="P720">
        <f t="shared" si="23"/>
        <v>12.96</v>
      </c>
    </row>
    <row r="721" spans="1:16" x14ac:dyDescent="0.25">
      <c r="A721">
        <v>2014</v>
      </c>
      <c r="B721" t="s">
        <v>155</v>
      </c>
      <c r="C721" t="s">
        <v>174</v>
      </c>
      <c r="D721" t="s">
        <v>56</v>
      </c>
      <c r="E721">
        <v>3.6</v>
      </c>
      <c r="F721">
        <v>6</v>
      </c>
      <c r="G721" t="s">
        <v>23</v>
      </c>
      <c r="H721" t="s">
        <v>17</v>
      </c>
      <c r="I721">
        <v>14.8</v>
      </c>
      <c r="J721">
        <v>9.8000000000000007</v>
      </c>
      <c r="K721">
        <v>12.6</v>
      </c>
      <c r="L721">
        <v>22</v>
      </c>
      <c r="M721">
        <v>290</v>
      </c>
      <c r="O721">
        <f t="shared" si="22"/>
        <v>1044</v>
      </c>
      <c r="P721">
        <f t="shared" si="23"/>
        <v>12.96</v>
      </c>
    </row>
    <row r="722" spans="1:16" x14ac:dyDescent="0.25">
      <c r="A722">
        <v>2014</v>
      </c>
      <c r="B722" t="s">
        <v>175</v>
      </c>
      <c r="C722" t="s">
        <v>186</v>
      </c>
      <c r="D722" t="s">
        <v>22</v>
      </c>
      <c r="E722">
        <v>3.6</v>
      </c>
      <c r="F722">
        <v>6</v>
      </c>
      <c r="G722" t="s">
        <v>33</v>
      </c>
      <c r="H722" t="s">
        <v>143</v>
      </c>
      <c r="I722">
        <v>14.8</v>
      </c>
      <c r="J722">
        <v>9.9</v>
      </c>
      <c r="K722">
        <v>12.6</v>
      </c>
      <c r="L722">
        <v>22</v>
      </c>
      <c r="M722">
        <v>290</v>
      </c>
      <c r="O722">
        <f t="shared" si="22"/>
        <v>1044</v>
      </c>
      <c r="P722">
        <f t="shared" si="23"/>
        <v>12.96</v>
      </c>
    </row>
    <row r="723" spans="1:16" x14ac:dyDescent="0.25">
      <c r="A723">
        <v>2014</v>
      </c>
      <c r="B723" t="s">
        <v>175</v>
      </c>
      <c r="C723" t="s">
        <v>203</v>
      </c>
      <c r="D723" t="s">
        <v>202</v>
      </c>
      <c r="E723">
        <v>4.3</v>
      </c>
      <c r="F723">
        <v>6</v>
      </c>
      <c r="G723" t="s">
        <v>33</v>
      </c>
      <c r="H723" t="s">
        <v>143</v>
      </c>
      <c r="I723">
        <v>14.2</v>
      </c>
      <c r="J723">
        <v>10.6</v>
      </c>
      <c r="K723">
        <v>12.6</v>
      </c>
      <c r="L723">
        <v>22</v>
      </c>
      <c r="M723">
        <v>290</v>
      </c>
      <c r="O723">
        <f t="shared" si="22"/>
        <v>1247</v>
      </c>
      <c r="P723">
        <f t="shared" si="23"/>
        <v>18.489999999999998</v>
      </c>
    </row>
    <row r="724" spans="1:16" x14ac:dyDescent="0.25">
      <c r="A724">
        <v>2014</v>
      </c>
      <c r="B724" t="s">
        <v>175</v>
      </c>
      <c r="C724" t="s">
        <v>215</v>
      </c>
      <c r="D724" t="s">
        <v>64</v>
      </c>
      <c r="E724">
        <v>3.6</v>
      </c>
      <c r="F724">
        <v>6</v>
      </c>
      <c r="G724" t="s">
        <v>33</v>
      </c>
      <c r="H724" t="s">
        <v>143</v>
      </c>
      <c r="I724">
        <v>14.6</v>
      </c>
      <c r="J724">
        <v>10.199999999999999</v>
      </c>
      <c r="K724">
        <v>12.6</v>
      </c>
      <c r="L724">
        <v>22</v>
      </c>
      <c r="M724">
        <v>290</v>
      </c>
      <c r="O724">
        <f t="shared" si="22"/>
        <v>1044</v>
      </c>
      <c r="P724">
        <f t="shared" si="23"/>
        <v>12.96</v>
      </c>
    </row>
    <row r="725" spans="1:16" x14ac:dyDescent="0.25">
      <c r="A725">
        <v>2014</v>
      </c>
      <c r="B725" t="s">
        <v>308</v>
      </c>
      <c r="C725" t="s">
        <v>320</v>
      </c>
      <c r="D725" t="s">
        <v>202</v>
      </c>
      <c r="E725">
        <v>4.3</v>
      </c>
      <c r="F725">
        <v>6</v>
      </c>
      <c r="G725" t="s">
        <v>33</v>
      </c>
      <c r="H725" t="s">
        <v>143</v>
      </c>
      <c r="I725">
        <v>14.2</v>
      </c>
      <c r="J725">
        <v>10.6</v>
      </c>
      <c r="K725">
        <v>12.6</v>
      </c>
      <c r="L725">
        <v>22</v>
      </c>
      <c r="M725">
        <v>290</v>
      </c>
      <c r="O725">
        <f t="shared" si="22"/>
        <v>1247</v>
      </c>
      <c r="P725">
        <f t="shared" si="23"/>
        <v>18.489999999999998</v>
      </c>
    </row>
    <row r="726" spans="1:16" x14ac:dyDescent="0.25">
      <c r="A726">
        <v>2014</v>
      </c>
      <c r="B726" t="s">
        <v>308</v>
      </c>
      <c r="C726" t="s">
        <v>322</v>
      </c>
      <c r="D726" t="s">
        <v>22</v>
      </c>
      <c r="E726">
        <v>3.6</v>
      </c>
      <c r="F726">
        <v>6</v>
      </c>
      <c r="G726" t="s">
        <v>33</v>
      </c>
      <c r="H726" t="s">
        <v>143</v>
      </c>
      <c r="I726">
        <v>14.8</v>
      </c>
      <c r="J726">
        <v>9.9</v>
      </c>
      <c r="K726">
        <v>12.6</v>
      </c>
      <c r="L726">
        <v>22</v>
      </c>
      <c r="M726">
        <v>290</v>
      </c>
      <c r="O726">
        <f t="shared" si="22"/>
        <v>1044</v>
      </c>
      <c r="P726">
        <f t="shared" si="23"/>
        <v>12.96</v>
      </c>
    </row>
    <row r="727" spans="1:16" x14ac:dyDescent="0.25">
      <c r="A727">
        <v>2014</v>
      </c>
      <c r="B727" t="s">
        <v>376</v>
      </c>
      <c r="C727" t="s">
        <v>391</v>
      </c>
      <c r="D727" t="s">
        <v>32</v>
      </c>
      <c r="E727">
        <v>5</v>
      </c>
      <c r="F727">
        <v>8</v>
      </c>
      <c r="G727" t="s">
        <v>23</v>
      </c>
      <c r="H727" t="s">
        <v>17</v>
      </c>
      <c r="I727">
        <v>14.8</v>
      </c>
      <c r="J727">
        <v>9.9</v>
      </c>
      <c r="K727">
        <v>12.6</v>
      </c>
      <c r="L727">
        <v>22</v>
      </c>
      <c r="M727">
        <v>290</v>
      </c>
      <c r="O727">
        <f t="shared" si="22"/>
        <v>1450</v>
      </c>
      <c r="P727">
        <f t="shared" si="23"/>
        <v>25</v>
      </c>
    </row>
    <row r="728" spans="1:16" x14ac:dyDescent="0.25">
      <c r="A728">
        <v>2014</v>
      </c>
      <c r="B728" t="s">
        <v>450</v>
      </c>
      <c r="C728" t="s">
        <v>465</v>
      </c>
      <c r="D728" t="s">
        <v>35</v>
      </c>
      <c r="E728">
        <v>5</v>
      </c>
      <c r="F728">
        <v>8</v>
      </c>
      <c r="G728" t="s">
        <v>45</v>
      </c>
      <c r="H728" t="s">
        <v>17</v>
      </c>
      <c r="I728">
        <v>14.6</v>
      </c>
      <c r="J728">
        <v>10.1</v>
      </c>
      <c r="K728">
        <v>12.6</v>
      </c>
      <c r="L728">
        <v>22</v>
      </c>
      <c r="M728">
        <v>290</v>
      </c>
      <c r="O728">
        <f t="shared" si="22"/>
        <v>1450</v>
      </c>
      <c r="P728">
        <f t="shared" si="23"/>
        <v>25</v>
      </c>
    </row>
    <row r="729" spans="1:16" x14ac:dyDescent="0.25">
      <c r="A729">
        <v>2014</v>
      </c>
      <c r="B729" t="s">
        <v>490</v>
      </c>
      <c r="C729" t="s">
        <v>494</v>
      </c>
      <c r="D729" t="s">
        <v>22</v>
      </c>
      <c r="E729">
        <v>3.7</v>
      </c>
      <c r="F729">
        <v>6</v>
      </c>
      <c r="G729" t="s">
        <v>23</v>
      </c>
      <c r="H729" t="s">
        <v>143</v>
      </c>
      <c r="I729">
        <v>14.3</v>
      </c>
      <c r="J729">
        <v>10.6</v>
      </c>
      <c r="K729">
        <v>12.6</v>
      </c>
      <c r="L729">
        <v>22</v>
      </c>
      <c r="M729">
        <v>290</v>
      </c>
      <c r="O729">
        <f t="shared" si="22"/>
        <v>1073</v>
      </c>
      <c r="P729">
        <f t="shared" si="23"/>
        <v>13.690000000000001</v>
      </c>
    </row>
    <row r="730" spans="1:16" x14ac:dyDescent="0.25">
      <c r="A730">
        <v>2014</v>
      </c>
      <c r="B730" t="s">
        <v>650</v>
      </c>
      <c r="C730" t="s">
        <v>654</v>
      </c>
      <c r="D730" t="s">
        <v>202</v>
      </c>
      <c r="E730">
        <v>3.6</v>
      </c>
      <c r="F730">
        <v>6</v>
      </c>
      <c r="G730" t="s">
        <v>53</v>
      </c>
      <c r="H730" t="s">
        <v>143</v>
      </c>
      <c r="I730">
        <v>14.6</v>
      </c>
      <c r="J730">
        <v>10.1</v>
      </c>
      <c r="K730">
        <v>12.6</v>
      </c>
      <c r="L730">
        <v>22</v>
      </c>
      <c r="M730">
        <v>290</v>
      </c>
      <c r="O730">
        <f t="shared" si="22"/>
        <v>1044</v>
      </c>
      <c r="P730">
        <f t="shared" si="23"/>
        <v>12.96</v>
      </c>
    </row>
    <row r="731" spans="1:16" x14ac:dyDescent="0.25">
      <c r="A731">
        <v>2014</v>
      </c>
      <c r="B731" t="s">
        <v>41</v>
      </c>
      <c r="C731" t="s">
        <v>78</v>
      </c>
      <c r="D731" t="s">
        <v>22</v>
      </c>
      <c r="E731">
        <v>3</v>
      </c>
      <c r="F731">
        <v>6</v>
      </c>
      <c r="G731" t="s">
        <v>45</v>
      </c>
      <c r="H731" t="s">
        <v>17</v>
      </c>
      <c r="I731">
        <v>14.9</v>
      </c>
      <c r="J731">
        <v>10.1</v>
      </c>
      <c r="K731">
        <v>12.7</v>
      </c>
      <c r="L731">
        <v>22</v>
      </c>
      <c r="M731">
        <v>292</v>
      </c>
      <c r="O731">
        <f t="shared" si="22"/>
        <v>876</v>
      </c>
      <c r="P731">
        <f t="shared" si="23"/>
        <v>9</v>
      </c>
    </row>
    <row r="732" spans="1:16" x14ac:dyDescent="0.25">
      <c r="A732">
        <v>2014</v>
      </c>
      <c r="B732" t="s">
        <v>90</v>
      </c>
      <c r="C732" t="s">
        <v>112</v>
      </c>
      <c r="D732" t="s">
        <v>56</v>
      </c>
      <c r="E732">
        <v>4.4000000000000004</v>
      </c>
      <c r="F732">
        <v>8</v>
      </c>
      <c r="G732" t="s">
        <v>53</v>
      </c>
      <c r="H732" t="s">
        <v>17</v>
      </c>
      <c r="I732">
        <v>15</v>
      </c>
      <c r="J732">
        <v>9.8000000000000007</v>
      </c>
      <c r="K732">
        <v>12.7</v>
      </c>
      <c r="L732">
        <v>22</v>
      </c>
      <c r="M732">
        <v>292</v>
      </c>
      <c r="O732">
        <f t="shared" si="22"/>
        <v>1284.8000000000002</v>
      </c>
      <c r="P732">
        <f t="shared" si="23"/>
        <v>19.360000000000003</v>
      </c>
    </row>
    <row r="733" spans="1:16" x14ac:dyDescent="0.25">
      <c r="A733">
        <v>2014</v>
      </c>
      <c r="B733" t="s">
        <v>90</v>
      </c>
      <c r="C733" t="s">
        <v>114</v>
      </c>
      <c r="D733" t="s">
        <v>35</v>
      </c>
      <c r="E733">
        <v>4.4000000000000004</v>
      </c>
      <c r="F733">
        <v>8</v>
      </c>
      <c r="G733" t="s">
        <v>53</v>
      </c>
      <c r="H733" t="s">
        <v>17</v>
      </c>
      <c r="I733">
        <v>15</v>
      </c>
      <c r="J733">
        <v>9.8000000000000007</v>
      </c>
      <c r="K733">
        <v>12.7</v>
      </c>
      <c r="L733">
        <v>22</v>
      </c>
      <c r="M733">
        <v>292</v>
      </c>
      <c r="O733">
        <f t="shared" si="22"/>
        <v>1284.8000000000002</v>
      </c>
      <c r="P733">
        <f t="shared" si="23"/>
        <v>19.360000000000003</v>
      </c>
    </row>
    <row r="734" spans="1:16" x14ac:dyDescent="0.25">
      <c r="A734">
        <v>2014</v>
      </c>
      <c r="B734" t="s">
        <v>90</v>
      </c>
      <c r="C734" t="s">
        <v>116</v>
      </c>
      <c r="D734" t="s">
        <v>15</v>
      </c>
      <c r="E734">
        <v>4.4000000000000004</v>
      </c>
      <c r="F734">
        <v>8</v>
      </c>
      <c r="G734" t="s">
        <v>53</v>
      </c>
      <c r="H734" t="s">
        <v>17</v>
      </c>
      <c r="I734">
        <v>15</v>
      </c>
      <c r="J734">
        <v>9.8000000000000007</v>
      </c>
      <c r="K734">
        <v>12.7</v>
      </c>
      <c r="L734">
        <v>22</v>
      </c>
      <c r="M734">
        <v>292</v>
      </c>
      <c r="O734">
        <f t="shared" si="22"/>
        <v>1284.8000000000002</v>
      </c>
      <c r="P734">
        <f t="shared" si="23"/>
        <v>19.360000000000003</v>
      </c>
    </row>
    <row r="735" spans="1:16" x14ac:dyDescent="0.25">
      <c r="A735">
        <v>2014</v>
      </c>
      <c r="B735" t="s">
        <v>90</v>
      </c>
      <c r="C735" t="s">
        <v>118</v>
      </c>
      <c r="D735" t="s">
        <v>56</v>
      </c>
      <c r="E735">
        <v>4.4000000000000004</v>
      </c>
      <c r="F735">
        <v>8</v>
      </c>
      <c r="G735" t="s">
        <v>53</v>
      </c>
      <c r="H735" t="s">
        <v>17</v>
      </c>
      <c r="I735">
        <v>15</v>
      </c>
      <c r="J735">
        <v>9.8000000000000007</v>
      </c>
      <c r="K735">
        <v>12.7</v>
      </c>
      <c r="L735">
        <v>22</v>
      </c>
      <c r="M735">
        <v>292</v>
      </c>
      <c r="O735">
        <f t="shared" si="22"/>
        <v>1284.8000000000002</v>
      </c>
      <c r="P735">
        <f t="shared" si="23"/>
        <v>19.360000000000003</v>
      </c>
    </row>
    <row r="736" spans="1:16" x14ac:dyDescent="0.25">
      <c r="A736">
        <v>2014</v>
      </c>
      <c r="B736" t="s">
        <v>90</v>
      </c>
      <c r="C736" t="s">
        <v>119</v>
      </c>
      <c r="D736" t="s">
        <v>56</v>
      </c>
      <c r="E736">
        <v>4.4000000000000004</v>
      </c>
      <c r="F736">
        <v>8</v>
      </c>
      <c r="G736" t="s">
        <v>53</v>
      </c>
      <c r="H736" t="s">
        <v>17</v>
      </c>
      <c r="I736">
        <v>15</v>
      </c>
      <c r="J736">
        <v>9.8000000000000007</v>
      </c>
      <c r="K736">
        <v>12.7</v>
      </c>
      <c r="L736">
        <v>22</v>
      </c>
      <c r="M736">
        <v>292</v>
      </c>
      <c r="O736">
        <f t="shared" si="22"/>
        <v>1284.8000000000002</v>
      </c>
      <c r="P736">
        <f t="shared" si="23"/>
        <v>19.360000000000003</v>
      </c>
    </row>
    <row r="737" spans="1:16" x14ac:dyDescent="0.25">
      <c r="A737">
        <v>2014</v>
      </c>
      <c r="B737" t="s">
        <v>90</v>
      </c>
      <c r="C737" t="s">
        <v>124</v>
      </c>
      <c r="D737" t="s">
        <v>56</v>
      </c>
      <c r="E737">
        <v>4.4000000000000004</v>
      </c>
      <c r="F737">
        <v>8</v>
      </c>
      <c r="G737" t="s">
        <v>53</v>
      </c>
      <c r="H737" t="s">
        <v>17</v>
      </c>
      <c r="I737">
        <v>15</v>
      </c>
      <c r="J737">
        <v>9.8000000000000007</v>
      </c>
      <c r="K737">
        <v>12.7</v>
      </c>
      <c r="L737">
        <v>22</v>
      </c>
      <c r="M737">
        <v>292</v>
      </c>
      <c r="O737">
        <f t="shared" si="22"/>
        <v>1284.8000000000002</v>
      </c>
      <c r="P737">
        <f t="shared" si="23"/>
        <v>19.360000000000003</v>
      </c>
    </row>
    <row r="738" spans="1:16" x14ac:dyDescent="0.25">
      <c r="A738">
        <v>2014</v>
      </c>
      <c r="B738" t="s">
        <v>90</v>
      </c>
      <c r="C738" t="s">
        <v>125</v>
      </c>
      <c r="D738" t="s">
        <v>56</v>
      </c>
      <c r="E738">
        <v>4.4000000000000004</v>
      </c>
      <c r="F738">
        <v>8</v>
      </c>
      <c r="G738" t="s">
        <v>53</v>
      </c>
      <c r="H738" t="s">
        <v>17</v>
      </c>
      <c r="I738">
        <v>15</v>
      </c>
      <c r="J738">
        <v>9.8000000000000007</v>
      </c>
      <c r="K738">
        <v>12.7</v>
      </c>
      <c r="L738">
        <v>22</v>
      </c>
      <c r="M738">
        <v>292</v>
      </c>
      <c r="O738">
        <f t="shared" si="22"/>
        <v>1284.8000000000002</v>
      </c>
      <c r="P738">
        <f t="shared" si="23"/>
        <v>19.360000000000003</v>
      </c>
    </row>
    <row r="739" spans="1:16" x14ac:dyDescent="0.25">
      <c r="A739">
        <v>2014</v>
      </c>
      <c r="B739" t="s">
        <v>175</v>
      </c>
      <c r="C739" t="s">
        <v>178</v>
      </c>
      <c r="D739" t="s">
        <v>15</v>
      </c>
      <c r="E739">
        <v>6.2</v>
      </c>
      <c r="F739">
        <v>8</v>
      </c>
      <c r="G739" t="s">
        <v>18</v>
      </c>
      <c r="H739" t="s">
        <v>17</v>
      </c>
      <c r="I739">
        <v>15</v>
      </c>
      <c r="J739">
        <v>9.9</v>
      </c>
      <c r="K739">
        <v>12.7</v>
      </c>
      <c r="L739">
        <v>22</v>
      </c>
      <c r="M739">
        <v>292</v>
      </c>
      <c r="O739">
        <f t="shared" si="22"/>
        <v>1810.4</v>
      </c>
      <c r="P739">
        <f t="shared" si="23"/>
        <v>38.440000000000005</v>
      </c>
    </row>
    <row r="740" spans="1:16" x14ac:dyDescent="0.25">
      <c r="A740">
        <v>2014</v>
      </c>
      <c r="B740" t="s">
        <v>175</v>
      </c>
      <c r="C740" t="s">
        <v>201</v>
      </c>
      <c r="D740" t="s">
        <v>202</v>
      </c>
      <c r="E740">
        <v>5.3</v>
      </c>
      <c r="F740">
        <v>8</v>
      </c>
      <c r="G740" t="s">
        <v>33</v>
      </c>
      <c r="H740" t="s">
        <v>143</v>
      </c>
      <c r="I740">
        <v>14.6</v>
      </c>
      <c r="J740">
        <v>10.3</v>
      </c>
      <c r="K740">
        <v>12.7</v>
      </c>
      <c r="L740">
        <v>22</v>
      </c>
      <c r="M740">
        <v>292</v>
      </c>
      <c r="O740">
        <f t="shared" si="22"/>
        <v>1547.6</v>
      </c>
      <c r="P740">
        <f t="shared" si="23"/>
        <v>28.09</v>
      </c>
    </row>
    <row r="741" spans="1:16" x14ac:dyDescent="0.25">
      <c r="A741">
        <v>2014</v>
      </c>
      <c r="B741" t="s">
        <v>265</v>
      </c>
      <c r="C741" t="s">
        <v>280</v>
      </c>
      <c r="D741" t="s">
        <v>202</v>
      </c>
      <c r="E741">
        <v>3.5</v>
      </c>
      <c r="F741">
        <v>6</v>
      </c>
      <c r="G741" t="s">
        <v>33</v>
      </c>
      <c r="H741" t="s">
        <v>143</v>
      </c>
      <c r="I741">
        <v>14.5</v>
      </c>
      <c r="J741">
        <v>10.6</v>
      </c>
      <c r="K741">
        <v>12.7</v>
      </c>
      <c r="L741">
        <v>22</v>
      </c>
      <c r="M741">
        <v>292</v>
      </c>
      <c r="O741">
        <f t="shared" si="22"/>
        <v>1022</v>
      </c>
      <c r="P741">
        <f t="shared" si="23"/>
        <v>12.25</v>
      </c>
    </row>
    <row r="742" spans="1:16" x14ac:dyDescent="0.25">
      <c r="A742">
        <v>2014</v>
      </c>
      <c r="B742" t="s">
        <v>265</v>
      </c>
      <c r="C742" t="s">
        <v>298</v>
      </c>
      <c r="D742" t="s">
        <v>35</v>
      </c>
      <c r="E742">
        <v>5</v>
      </c>
      <c r="F742">
        <v>8</v>
      </c>
      <c r="G742" t="s">
        <v>18</v>
      </c>
      <c r="H742" t="s">
        <v>143</v>
      </c>
      <c r="I742">
        <v>15.4</v>
      </c>
      <c r="J742">
        <v>9.4</v>
      </c>
      <c r="K742">
        <v>12.7</v>
      </c>
      <c r="L742">
        <v>22</v>
      </c>
      <c r="M742">
        <v>292</v>
      </c>
      <c r="O742">
        <f t="shared" si="22"/>
        <v>1460</v>
      </c>
      <c r="P742">
        <f t="shared" si="23"/>
        <v>25</v>
      </c>
    </row>
    <row r="743" spans="1:16" x14ac:dyDescent="0.25">
      <c r="A743">
        <v>2014</v>
      </c>
      <c r="B743" t="s">
        <v>308</v>
      </c>
      <c r="C743" t="s">
        <v>319</v>
      </c>
      <c r="D743" t="s">
        <v>202</v>
      </c>
      <c r="E743">
        <v>5.3</v>
      </c>
      <c r="F743">
        <v>8</v>
      </c>
      <c r="G743" t="s">
        <v>33</v>
      </c>
      <c r="H743" t="s">
        <v>143</v>
      </c>
      <c r="I743">
        <v>14.6</v>
      </c>
      <c r="J743">
        <v>10.3</v>
      </c>
      <c r="K743">
        <v>12.7</v>
      </c>
      <c r="L743">
        <v>22</v>
      </c>
      <c r="M743">
        <v>292</v>
      </c>
      <c r="O743">
        <f t="shared" si="22"/>
        <v>1547.6</v>
      </c>
      <c r="P743">
        <f t="shared" si="23"/>
        <v>28.09</v>
      </c>
    </row>
    <row r="744" spans="1:16" x14ac:dyDescent="0.25">
      <c r="A744">
        <v>2014</v>
      </c>
      <c r="B744" t="s">
        <v>483</v>
      </c>
      <c r="C744" t="s">
        <v>484</v>
      </c>
      <c r="D744" t="s">
        <v>26</v>
      </c>
      <c r="E744">
        <v>3</v>
      </c>
      <c r="F744">
        <v>6</v>
      </c>
      <c r="G744" t="s">
        <v>45</v>
      </c>
      <c r="H744" t="s">
        <v>17</v>
      </c>
      <c r="I744">
        <v>15.2</v>
      </c>
      <c r="J744">
        <v>9.6</v>
      </c>
      <c r="K744">
        <v>12.7</v>
      </c>
      <c r="L744">
        <v>22</v>
      </c>
      <c r="M744">
        <v>292</v>
      </c>
      <c r="O744">
        <f t="shared" si="22"/>
        <v>876</v>
      </c>
      <c r="P744">
        <f t="shared" si="23"/>
        <v>9</v>
      </c>
    </row>
    <row r="745" spans="1:16" x14ac:dyDescent="0.25">
      <c r="A745">
        <v>2014</v>
      </c>
      <c r="B745" t="s">
        <v>483</v>
      </c>
      <c r="C745" t="s">
        <v>485</v>
      </c>
      <c r="D745" t="s">
        <v>26</v>
      </c>
      <c r="E745">
        <v>3</v>
      </c>
      <c r="F745">
        <v>6</v>
      </c>
      <c r="G745" t="s">
        <v>45</v>
      </c>
      <c r="H745" t="s">
        <v>17</v>
      </c>
      <c r="I745">
        <v>15.2</v>
      </c>
      <c r="J745">
        <v>9.6</v>
      </c>
      <c r="K745">
        <v>12.7</v>
      </c>
      <c r="L745">
        <v>22</v>
      </c>
      <c r="M745">
        <v>292</v>
      </c>
      <c r="O745">
        <f t="shared" si="22"/>
        <v>876</v>
      </c>
      <c r="P745">
        <f t="shared" si="23"/>
        <v>9</v>
      </c>
    </row>
    <row r="746" spans="1:16" x14ac:dyDescent="0.25">
      <c r="A746">
        <v>2014</v>
      </c>
      <c r="B746" t="s">
        <v>506</v>
      </c>
      <c r="C746" t="s">
        <v>555</v>
      </c>
      <c r="D746" t="s">
        <v>37</v>
      </c>
      <c r="E746">
        <v>5.5</v>
      </c>
      <c r="F746">
        <v>8</v>
      </c>
      <c r="G746" t="s">
        <v>360</v>
      </c>
      <c r="H746" t="s">
        <v>17</v>
      </c>
      <c r="I746">
        <v>14.8</v>
      </c>
      <c r="J746">
        <v>10.199999999999999</v>
      </c>
      <c r="K746">
        <v>12.7</v>
      </c>
      <c r="L746">
        <v>22</v>
      </c>
      <c r="M746">
        <v>292</v>
      </c>
      <c r="O746">
        <f t="shared" si="22"/>
        <v>1606</v>
      </c>
      <c r="P746">
        <f t="shared" si="23"/>
        <v>30.25</v>
      </c>
    </row>
    <row r="747" spans="1:16" x14ac:dyDescent="0.25">
      <c r="A747">
        <v>2014</v>
      </c>
      <c r="B747" t="s">
        <v>593</v>
      </c>
      <c r="C747" t="s">
        <v>598</v>
      </c>
      <c r="D747" t="s">
        <v>599</v>
      </c>
      <c r="E747">
        <v>4</v>
      </c>
      <c r="F747">
        <v>6</v>
      </c>
      <c r="G747" t="s">
        <v>224</v>
      </c>
      <c r="H747" t="s">
        <v>143</v>
      </c>
      <c r="I747">
        <v>14.7</v>
      </c>
      <c r="J747">
        <v>10.199999999999999</v>
      </c>
      <c r="K747">
        <v>12.7</v>
      </c>
      <c r="L747">
        <v>22</v>
      </c>
      <c r="M747">
        <v>292</v>
      </c>
      <c r="O747">
        <f t="shared" si="22"/>
        <v>1168</v>
      </c>
      <c r="P747">
        <f t="shared" si="23"/>
        <v>16</v>
      </c>
    </row>
    <row r="748" spans="1:16" x14ac:dyDescent="0.25">
      <c r="A748">
        <v>2014</v>
      </c>
      <c r="B748" t="s">
        <v>618</v>
      </c>
      <c r="C748" t="s">
        <v>646</v>
      </c>
      <c r="D748" t="s">
        <v>56</v>
      </c>
      <c r="E748">
        <v>4.8</v>
      </c>
      <c r="F748">
        <v>8</v>
      </c>
      <c r="G748" t="s">
        <v>38</v>
      </c>
      <c r="H748" t="s">
        <v>17</v>
      </c>
      <c r="I748">
        <v>15.1</v>
      </c>
      <c r="J748">
        <v>9.6999999999999993</v>
      </c>
      <c r="K748">
        <v>12.7</v>
      </c>
      <c r="L748">
        <v>22</v>
      </c>
      <c r="M748">
        <v>292</v>
      </c>
      <c r="O748">
        <f t="shared" si="22"/>
        <v>1401.6</v>
      </c>
      <c r="P748">
        <f t="shared" si="23"/>
        <v>23.04</v>
      </c>
    </row>
    <row r="749" spans="1:16" x14ac:dyDescent="0.25">
      <c r="A749">
        <v>2014</v>
      </c>
      <c r="B749" t="s">
        <v>155</v>
      </c>
      <c r="C749" t="s">
        <v>162</v>
      </c>
      <c r="D749" t="s">
        <v>26</v>
      </c>
      <c r="E749">
        <v>3.6</v>
      </c>
      <c r="F749">
        <v>6</v>
      </c>
      <c r="G749" t="s">
        <v>45</v>
      </c>
      <c r="H749" t="s">
        <v>17</v>
      </c>
      <c r="I749">
        <v>15.1</v>
      </c>
      <c r="J749">
        <v>9.9</v>
      </c>
      <c r="K749">
        <v>12.8</v>
      </c>
      <c r="L749">
        <v>22</v>
      </c>
      <c r="M749">
        <v>294</v>
      </c>
      <c r="O749">
        <f t="shared" si="22"/>
        <v>1058.4000000000001</v>
      </c>
      <c r="P749">
        <f t="shared" si="23"/>
        <v>12.96</v>
      </c>
    </row>
    <row r="750" spans="1:16" x14ac:dyDescent="0.25">
      <c r="A750">
        <v>2014</v>
      </c>
      <c r="B750" t="s">
        <v>155</v>
      </c>
      <c r="C750" t="s">
        <v>171</v>
      </c>
      <c r="D750" t="s">
        <v>64</v>
      </c>
      <c r="E750">
        <v>3.6</v>
      </c>
      <c r="F750">
        <v>6</v>
      </c>
      <c r="G750" t="s">
        <v>23</v>
      </c>
      <c r="H750" t="s">
        <v>143</v>
      </c>
      <c r="I750">
        <v>14.8</v>
      </c>
      <c r="J750">
        <v>10.4</v>
      </c>
      <c r="K750">
        <v>12.8</v>
      </c>
      <c r="L750">
        <v>22</v>
      </c>
      <c r="M750">
        <v>294</v>
      </c>
      <c r="O750">
        <f t="shared" si="22"/>
        <v>1058.4000000000001</v>
      </c>
      <c r="P750">
        <f t="shared" si="23"/>
        <v>12.96</v>
      </c>
    </row>
    <row r="751" spans="1:16" x14ac:dyDescent="0.25">
      <c r="A751">
        <v>2014</v>
      </c>
      <c r="B751" t="s">
        <v>175</v>
      </c>
      <c r="C751" t="s">
        <v>178</v>
      </c>
      <c r="D751" t="s">
        <v>15</v>
      </c>
      <c r="E751">
        <v>6.2</v>
      </c>
      <c r="F751">
        <v>8</v>
      </c>
      <c r="G751" t="s">
        <v>23</v>
      </c>
      <c r="H751" t="s">
        <v>17</v>
      </c>
      <c r="I751">
        <v>15.3</v>
      </c>
      <c r="J751">
        <v>9.8000000000000007</v>
      </c>
      <c r="K751">
        <v>12.8</v>
      </c>
      <c r="L751">
        <v>22</v>
      </c>
      <c r="M751">
        <v>294</v>
      </c>
      <c r="O751">
        <f t="shared" si="22"/>
        <v>1822.8</v>
      </c>
      <c r="P751">
        <f t="shared" si="23"/>
        <v>38.440000000000005</v>
      </c>
    </row>
    <row r="752" spans="1:16" x14ac:dyDescent="0.25">
      <c r="A752">
        <v>2014</v>
      </c>
      <c r="B752" t="s">
        <v>218</v>
      </c>
      <c r="C752" t="s">
        <v>223</v>
      </c>
      <c r="D752" t="s">
        <v>56</v>
      </c>
      <c r="E752">
        <v>5.7</v>
      </c>
      <c r="F752">
        <v>8</v>
      </c>
      <c r="G752" t="s">
        <v>224</v>
      </c>
      <c r="H752" t="s">
        <v>143</v>
      </c>
      <c r="I752">
        <v>15.8</v>
      </c>
      <c r="J752">
        <v>9.1999999999999993</v>
      </c>
      <c r="K752">
        <v>12.8</v>
      </c>
      <c r="L752">
        <v>22</v>
      </c>
      <c r="M752">
        <v>294</v>
      </c>
      <c r="O752">
        <f t="shared" si="22"/>
        <v>1675.8</v>
      </c>
      <c r="P752">
        <f t="shared" si="23"/>
        <v>32.49</v>
      </c>
    </row>
    <row r="753" spans="1:16" x14ac:dyDescent="0.25">
      <c r="A753">
        <v>2014</v>
      </c>
      <c r="B753" t="s">
        <v>232</v>
      </c>
      <c r="C753" t="s">
        <v>236</v>
      </c>
      <c r="D753" t="s">
        <v>26</v>
      </c>
      <c r="E753">
        <v>5.7</v>
      </c>
      <c r="F753">
        <v>8</v>
      </c>
      <c r="G753" t="s">
        <v>224</v>
      </c>
      <c r="H753" t="s">
        <v>143</v>
      </c>
      <c r="I753">
        <v>15.8</v>
      </c>
      <c r="J753">
        <v>9.1999999999999993</v>
      </c>
      <c r="K753">
        <v>12.8</v>
      </c>
      <c r="L753">
        <v>22</v>
      </c>
      <c r="M753">
        <v>294</v>
      </c>
      <c r="O753">
        <f t="shared" si="22"/>
        <v>1675.8</v>
      </c>
      <c r="P753">
        <f t="shared" si="23"/>
        <v>32.49</v>
      </c>
    </row>
    <row r="754" spans="1:16" x14ac:dyDescent="0.25">
      <c r="A754">
        <v>2014</v>
      </c>
      <c r="B754" t="s">
        <v>232</v>
      </c>
      <c r="C754" t="s">
        <v>240</v>
      </c>
      <c r="D754" t="s">
        <v>56</v>
      </c>
      <c r="E754">
        <v>5.7</v>
      </c>
      <c r="F754">
        <v>8</v>
      </c>
      <c r="G754" t="s">
        <v>224</v>
      </c>
      <c r="H754" t="s">
        <v>143</v>
      </c>
      <c r="I754">
        <v>15.8</v>
      </c>
      <c r="J754">
        <v>9.1999999999999993</v>
      </c>
      <c r="K754">
        <v>12.8</v>
      </c>
      <c r="L754">
        <v>22</v>
      </c>
      <c r="M754">
        <v>294</v>
      </c>
      <c r="O754">
        <f t="shared" si="22"/>
        <v>1675.8</v>
      </c>
      <c r="P754">
        <f t="shared" si="23"/>
        <v>32.49</v>
      </c>
    </row>
    <row r="755" spans="1:16" x14ac:dyDescent="0.25">
      <c r="A755">
        <v>2014</v>
      </c>
      <c r="B755" t="s">
        <v>265</v>
      </c>
      <c r="C755" t="s">
        <v>280</v>
      </c>
      <c r="D755" t="s">
        <v>202</v>
      </c>
      <c r="E755">
        <v>3.5</v>
      </c>
      <c r="F755">
        <v>6</v>
      </c>
      <c r="G755" t="s">
        <v>23</v>
      </c>
      <c r="H755" t="s">
        <v>143</v>
      </c>
      <c r="I755">
        <v>14.6</v>
      </c>
      <c r="J755">
        <v>10.6</v>
      </c>
      <c r="K755">
        <v>12.8</v>
      </c>
      <c r="L755">
        <v>22</v>
      </c>
      <c r="M755">
        <v>294</v>
      </c>
      <c r="O755">
        <f t="shared" si="22"/>
        <v>1029</v>
      </c>
      <c r="P755">
        <f t="shared" si="23"/>
        <v>12.25</v>
      </c>
    </row>
    <row r="756" spans="1:16" x14ac:dyDescent="0.25">
      <c r="A756">
        <v>2014</v>
      </c>
      <c r="B756" t="s">
        <v>265</v>
      </c>
      <c r="C756" t="s">
        <v>290</v>
      </c>
      <c r="D756" t="s">
        <v>64</v>
      </c>
      <c r="E756">
        <v>3.5</v>
      </c>
      <c r="F756">
        <v>6</v>
      </c>
      <c r="G756" t="s">
        <v>23</v>
      </c>
      <c r="H756" t="s">
        <v>143</v>
      </c>
      <c r="I756">
        <v>14.8</v>
      </c>
      <c r="J756">
        <v>10.4</v>
      </c>
      <c r="K756">
        <v>12.8</v>
      </c>
      <c r="L756">
        <v>22</v>
      </c>
      <c r="M756">
        <v>294</v>
      </c>
      <c r="O756">
        <f t="shared" si="22"/>
        <v>1029</v>
      </c>
      <c r="P756">
        <f t="shared" si="23"/>
        <v>12.25</v>
      </c>
    </row>
    <row r="757" spans="1:16" x14ac:dyDescent="0.25">
      <c r="A757">
        <v>2014</v>
      </c>
      <c r="B757" t="s">
        <v>358</v>
      </c>
      <c r="C757" t="s">
        <v>368</v>
      </c>
      <c r="D757" t="s">
        <v>26</v>
      </c>
      <c r="E757">
        <v>5.6</v>
      </c>
      <c r="F757">
        <v>8</v>
      </c>
      <c r="G757" t="s">
        <v>360</v>
      </c>
      <c r="H757" t="s">
        <v>17</v>
      </c>
      <c r="I757">
        <v>15</v>
      </c>
      <c r="J757">
        <v>10.199999999999999</v>
      </c>
      <c r="K757">
        <v>12.8</v>
      </c>
      <c r="L757">
        <v>22</v>
      </c>
      <c r="M757">
        <v>294</v>
      </c>
      <c r="O757">
        <f t="shared" si="22"/>
        <v>1646.3999999999999</v>
      </c>
      <c r="P757">
        <f t="shared" si="23"/>
        <v>31.359999999999996</v>
      </c>
    </row>
    <row r="758" spans="1:16" x14ac:dyDescent="0.25">
      <c r="A758">
        <v>2014</v>
      </c>
      <c r="B758" t="s">
        <v>358</v>
      </c>
      <c r="C758" t="s">
        <v>374</v>
      </c>
      <c r="D758" t="s">
        <v>22</v>
      </c>
      <c r="E758">
        <v>3.7</v>
      </c>
      <c r="F758">
        <v>6</v>
      </c>
      <c r="G758" t="s">
        <v>360</v>
      </c>
      <c r="H758" t="s">
        <v>17</v>
      </c>
      <c r="I758">
        <v>14.5</v>
      </c>
      <c r="J758">
        <v>10.7</v>
      </c>
      <c r="K758">
        <v>12.8</v>
      </c>
      <c r="L758">
        <v>22</v>
      </c>
      <c r="M758">
        <v>294</v>
      </c>
      <c r="O758">
        <f t="shared" si="22"/>
        <v>1087.8</v>
      </c>
      <c r="P758">
        <f t="shared" si="23"/>
        <v>13.690000000000001</v>
      </c>
    </row>
    <row r="759" spans="1:16" x14ac:dyDescent="0.25">
      <c r="A759">
        <v>2014</v>
      </c>
      <c r="B759" t="s">
        <v>376</v>
      </c>
      <c r="C759" t="s">
        <v>379</v>
      </c>
      <c r="D759" t="s">
        <v>37</v>
      </c>
      <c r="E759">
        <v>5</v>
      </c>
      <c r="F759">
        <v>8</v>
      </c>
      <c r="G759" t="s">
        <v>45</v>
      </c>
      <c r="H759" t="s">
        <v>17</v>
      </c>
      <c r="I759">
        <v>15</v>
      </c>
      <c r="J759">
        <v>10.199999999999999</v>
      </c>
      <c r="K759">
        <v>12.8</v>
      </c>
      <c r="L759">
        <v>22</v>
      </c>
      <c r="M759">
        <v>294</v>
      </c>
      <c r="O759">
        <f t="shared" si="22"/>
        <v>1470</v>
      </c>
      <c r="P759">
        <f t="shared" si="23"/>
        <v>25</v>
      </c>
    </row>
    <row r="760" spans="1:16" x14ac:dyDescent="0.25">
      <c r="A760">
        <v>2014</v>
      </c>
      <c r="B760" t="s">
        <v>396</v>
      </c>
      <c r="C760" t="s">
        <v>412</v>
      </c>
      <c r="D760" t="s">
        <v>22</v>
      </c>
      <c r="E760">
        <v>3.6</v>
      </c>
      <c r="F760">
        <v>6</v>
      </c>
      <c r="G760" t="s">
        <v>224</v>
      </c>
      <c r="H760" t="s">
        <v>143</v>
      </c>
      <c r="I760">
        <v>14.1</v>
      </c>
      <c r="J760">
        <v>11.1</v>
      </c>
      <c r="K760">
        <v>12.8</v>
      </c>
      <c r="L760">
        <v>22</v>
      </c>
      <c r="M760">
        <v>294</v>
      </c>
      <c r="O760">
        <f t="shared" si="22"/>
        <v>1058.4000000000001</v>
      </c>
      <c r="P760">
        <f t="shared" si="23"/>
        <v>12.96</v>
      </c>
    </row>
    <row r="761" spans="1:16" x14ac:dyDescent="0.25">
      <c r="A761">
        <v>2014</v>
      </c>
      <c r="B761" t="s">
        <v>396</v>
      </c>
      <c r="C761" t="s">
        <v>412</v>
      </c>
      <c r="D761" t="s">
        <v>22</v>
      </c>
      <c r="E761">
        <v>3.6</v>
      </c>
      <c r="F761">
        <v>6</v>
      </c>
      <c r="G761" t="s">
        <v>18</v>
      </c>
      <c r="H761" t="s">
        <v>143</v>
      </c>
      <c r="I761">
        <v>14.2</v>
      </c>
      <c r="J761">
        <v>11</v>
      </c>
      <c r="K761">
        <v>12.8</v>
      </c>
      <c r="L761">
        <v>22</v>
      </c>
      <c r="M761">
        <v>294</v>
      </c>
      <c r="O761">
        <f t="shared" si="22"/>
        <v>1058.4000000000001</v>
      </c>
      <c r="P761">
        <f t="shared" si="23"/>
        <v>12.96</v>
      </c>
    </row>
    <row r="762" spans="1:16" x14ac:dyDescent="0.25">
      <c r="A762">
        <v>2014</v>
      </c>
      <c r="B762" t="s">
        <v>473</v>
      </c>
      <c r="C762" t="s">
        <v>475</v>
      </c>
      <c r="D762" t="s">
        <v>64</v>
      </c>
      <c r="E762">
        <v>3.5</v>
      </c>
      <c r="F762">
        <v>6</v>
      </c>
      <c r="G762" t="s">
        <v>23</v>
      </c>
      <c r="H762" t="s">
        <v>143</v>
      </c>
      <c r="I762">
        <v>14.8</v>
      </c>
      <c r="J762">
        <v>10.4</v>
      </c>
      <c r="K762">
        <v>12.8</v>
      </c>
      <c r="L762">
        <v>22</v>
      </c>
      <c r="M762">
        <v>294</v>
      </c>
      <c r="O762">
        <f t="shared" si="22"/>
        <v>1029</v>
      </c>
      <c r="P762">
        <f t="shared" si="23"/>
        <v>12.25</v>
      </c>
    </row>
    <row r="763" spans="1:16" x14ac:dyDescent="0.25">
      <c r="A763">
        <v>2014</v>
      </c>
      <c r="B763" t="s">
        <v>618</v>
      </c>
      <c r="C763" t="s">
        <v>648</v>
      </c>
      <c r="D763" t="s">
        <v>56</v>
      </c>
      <c r="E763">
        <v>4.8</v>
      </c>
      <c r="F763">
        <v>8</v>
      </c>
      <c r="G763" t="s">
        <v>38</v>
      </c>
      <c r="H763" t="s">
        <v>17</v>
      </c>
      <c r="I763">
        <v>15.3</v>
      </c>
      <c r="J763">
        <v>9.6999999999999993</v>
      </c>
      <c r="K763">
        <v>12.8</v>
      </c>
      <c r="L763">
        <v>22</v>
      </c>
      <c r="M763">
        <v>294</v>
      </c>
      <c r="O763">
        <f t="shared" si="22"/>
        <v>1411.2</v>
      </c>
      <c r="P763">
        <f t="shared" si="23"/>
        <v>23.04</v>
      </c>
    </row>
    <row r="764" spans="1:16" x14ac:dyDescent="0.25">
      <c r="A764">
        <v>2014</v>
      </c>
      <c r="B764" t="s">
        <v>743</v>
      </c>
      <c r="C764" t="s">
        <v>751</v>
      </c>
      <c r="D764" t="s">
        <v>64</v>
      </c>
      <c r="E764">
        <v>3.2</v>
      </c>
      <c r="F764">
        <v>6</v>
      </c>
      <c r="G764" t="s">
        <v>23</v>
      </c>
      <c r="H764" t="s">
        <v>143</v>
      </c>
      <c r="I764">
        <v>14.9</v>
      </c>
      <c r="J764">
        <v>10.199999999999999</v>
      </c>
      <c r="K764">
        <v>12.8</v>
      </c>
      <c r="L764">
        <v>22</v>
      </c>
      <c r="M764">
        <v>294</v>
      </c>
      <c r="O764">
        <f t="shared" si="22"/>
        <v>940.80000000000007</v>
      </c>
      <c r="P764">
        <f t="shared" si="23"/>
        <v>10.240000000000002</v>
      </c>
    </row>
    <row r="765" spans="1:16" x14ac:dyDescent="0.25">
      <c r="A765">
        <v>2014</v>
      </c>
      <c r="B765" t="s">
        <v>41</v>
      </c>
      <c r="C765" t="s">
        <v>77</v>
      </c>
      <c r="D765" t="s">
        <v>26</v>
      </c>
      <c r="E765">
        <v>4</v>
      </c>
      <c r="F765">
        <v>8</v>
      </c>
      <c r="G765" t="s">
        <v>45</v>
      </c>
      <c r="H765" t="s">
        <v>17</v>
      </c>
      <c r="I765">
        <v>15.4</v>
      </c>
      <c r="J765">
        <v>9.8000000000000007</v>
      </c>
      <c r="K765">
        <v>12.9</v>
      </c>
      <c r="L765">
        <v>22</v>
      </c>
      <c r="M765">
        <v>297</v>
      </c>
      <c r="O765">
        <f t="shared" si="22"/>
        <v>1188</v>
      </c>
      <c r="P765">
        <f t="shared" si="23"/>
        <v>16</v>
      </c>
    </row>
    <row r="766" spans="1:16" x14ac:dyDescent="0.25">
      <c r="A766">
        <v>2014</v>
      </c>
      <c r="B766" t="s">
        <v>83</v>
      </c>
      <c r="C766" t="s">
        <v>84</v>
      </c>
      <c r="D766" t="s">
        <v>35</v>
      </c>
      <c r="E766">
        <v>4</v>
      </c>
      <c r="F766">
        <v>8</v>
      </c>
      <c r="G766" t="s">
        <v>45</v>
      </c>
      <c r="H766" t="s">
        <v>17</v>
      </c>
      <c r="I766">
        <v>15.4</v>
      </c>
      <c r="J766">
        <v>9.8000000000000007</v>
      </c>
      <c r="K766">
        <v>12.9</v>
      </c>
      <c r="L766">
        <v>22</v>
      </c>
      <c r="M766">
        <v>297</v>
      </c>
      <c r="O766">
        <f t="shared" si="22"/>
        <v>1188</v>
      </c>
      <c r="P766">
        <f t="shared" si="23"/>
        <v>16</v>
      </c>
    </row>
    <row r="767" spans="1:16" x14ac:dyDescent="0.25">
      <c r="A767">
        <v>2014</v>
      </c>
      <c r="B767" t="s">
        <v>308</v>
      </c>
      <c r="C767" t="s">
        <v>310</v>
      </c>
      <c r="D767" t="s">
        <v>64</v>
      </c>
      <c r="E767">
        <v>3.6</v>
      </c>
      <c r="F767">
        <v>6</v>
      </c>
      <c r="G767" t="s">
        <v>33</v>
      </c>
      <c r="H767" t="s">
        <v>143</v>
      </c>
      <c r="I767">
        <v>14.9</v>
      </c>
      <c r="J767">
        <v>10.4</v>
      </c>
      <c r="K767">
        <v>12.9</v>
      </c>
      <c r="L767">
        <v>22</v>
      </c>
      <c r="M767">
        <v>297</v>
      </c>
      <c r="O767">
        <f t="shared" si="22"/>
        <v>1069.2</v>
      </c>
      <c r="P767">
        <f t="shared" si="23"/>
        <v>12.96</v>
      </c>
    </row>
    <row r="768" spans="1:16" x14ac:dyDescent="0.25">
      <c r="A768">
        <v>2014</v>
      </c>
      <c r="B768" t="s">
        <v>450</v>
      </c>
      <c r="C768" t="s">
        <v>467</v>
      </c>
      <c r="D768" t="s">
        <v>26</v>
      </c>
      <c r="E768">
        <v>4.5999999999999996</v>
      </c>
      <c r="F768">
        <v>8</v>
      </c>
      <c r="G768" t="s">
        <v>45</v>
      </c>
      <c r="H768" t="s">
        <v>17</v>
      </c>
      <c r="I768">
        <v>15.1</v>
      </c>
      <c r="J768">
        <v>10.3</v>
      </c>
      <c r="K768">
        <v>12.9</v>
      </c>
      <c r="L768">
        <v>22</v>
      </c>
      <c r="M768">
        <v>297</v>
      </c>
      <c r="O768">
        <f t="shared" si="22"/>
        <v>1366.1999999999998</v>
      </c>
      <c r="P768">
        <f t="shared" si="23"/>
        <v>21.159999999999997</v>
      </c>
    </row>
    <row r="769" spans="1:16" x14ac:dyDescent="0.25">
      <c r="A769">
        <v>2014</v>
      </c>
      <c r="B769" t="s">
        <v>450</v>
      </c>
      <c r="C769" t="s">
        <v>468</v>
      </c>
      <c r="D769" t="s">
        <v>26</v>
      </c>
      <c r="E769">
        <v>4.5999999999999996</v>
      </c>
      <c r="F769">
        <v>8</v>
      </c>
      <c r="G769" t="s">
        <v>45</v>
      </c>
      <c r="H769" t="s">
        <v>17</v>
      </c>
      <c r="I769">
        <v>15.1</v>
      </c>
      <c r="J769">
        <v>10.3</v>
      </c>
      <c r="K769">
        <v>12.9</v>
      </c>
      <c r="L769">
        <v>22</v>
      </c>
      <c r="M769">
        <v>297</v>
      </c>
      <c r="O769">
        <f t="shared" si="22"/>
        <v>1366.1999999999998</v>
      </c>
      <c r="P769">
        <f t="shared" si="23"/>
        <v>21.159999999999997</v>
      </c>
    </row>
    <row r="770" spans="1:16" x14ac:dyDescent="0.25">
      <c r="A770">
        <v>2014</v>
      </c>
      <c r="B770" t="s">
        <v>506</v>
      </c>
      <c r="C770" t="s">
        <v>535</v>
      </c>
      <c r="D770" t="s">
        <v>26</v>
      </c>
      <c r="E770">
        <v>5.5</v>
      </c>
      <c r="F770">
        <v>8</v>
      </c>
      <c r="G770" t="s">
        <v>360</v>
      </c>
      <c r="H770" t="s">
        <v>17</v>
      </c>
      <c r="I770">
        <v>15</v>
      </c>
      <c r="J770">
        <v>10.3</v>
      </c>
      <c r="K770">
        <v>12.9</v>
      </c>
      <c r="L770">
        <v>22</v>
      </c>
      <c r="M770">
        <v>297</v>
      </c>
      <c r="O770">
        <f t="shared" si="22"/>
        <v>1633.5</v>
      </c>
      <c r="P770">
        <f t="shared" si="23"/>
        <v>30.25</v>
      </c>
    </row>
    <row r="771" spans="1:16" x14ac:dyDescent="0.25">
      <c r="A771">
        <v>2014</v>
      </c>
      <c r="B771" t="s">
        <v>506</v>
      </c>
      <c r="C771" t="s">
        <v>537</v>
      </c>
      <c r="D771" t="s">
        <v>26</v>
      </c>
      <c r="E771">
        <v>5.5</v>
      </c>
      <c r="F771">
        <v>8</v>
      </c>
      <c r="G771" t="s">
        <v>360</v>
      </c>
      <c r="H771" t="s">
        <v>17</v>
      </c>
      <c r="I771">
        <v>15</v>
      </c>
      <c r="J771">
        <v>10.3</v>
      </c>
      <c r="K771">
        <v>12.9</v>
      </c>
      <c r="L771">
        <v>22</v>
      </c>
      <c r="M771">
        <v>297</v>
      </c>
      <c r="O771">
        <f t="shared" ref="O771:O834" si="24">M771*E771</f>
        <v>1633.5</v>
      </c>
      <c r="P771">
        <f t="shared" ref="P771:P834" si="25">E771*E771</f>
        <v>30.25</v>
      </c>
    </row>
    <row r="772" spans="1:16" x14ac:dyDescent="0.25">
      <c r="A772">
        <v>2014</v>
      </c>
      <c r="B772" t="s">
        <v>593</v>
      </c>
      <c r="C772" t="s">
        <v>601</v>
      </c>
      <c r="D772" t="s">
        <v>35</v>
      </c>
      <c r="E772">
        <v>3.8</v>
      </c>
      <c r="F772">
        <v>6</v>
      </c>
      <c r="G772" t="s">
        <v>250</v>
      </c>
      <c r="H772" t="s">
        <v>17</v>
      </c>
      <c r="I772">
        <v>14.5</v>
      </c>
      <c r="J772">
        <v>10.9</v>
      </c>
      <c r="K772">
        <v>12.9</v>
      </c>
      <c r="L772">
        <v>22</v>
      </c>
      <c r="M772">
        <v>297</v>
      </c>
      <c r="O772">
        <f t="shared" si="24"/>
        <v>1128.5999999999999</v>
      </c>
      <c r="P772">
        <f t="shared" si="25"/>
        <v>14.44</v>
      </c>
    </row>
    <row r="773" spans="1:16" x14ac:dyDescent="0.25">
      <c r="A773">
        <v>2014</v>
      </c>
      <c r="B773" t="s">
        <v>618</v>
      </c>
      <c r="C773" t="s">
        <v>649</v>
      </c>
      <c r="D773" t="s">
        <v>56</v>
      </c>
      <c r="E773">
        <v>4.8</v>
      </c>
      <c r="F773">
        <v>8</v>
      </c>
      <c r="G773" t="s">
        <v>38</v>
      </c>
      <c r="H773" t="s">
        <v>17</v>
      </c>
      <c r="I773">
        <v>15.4</v>
      </c>
      <c r="J773">
        <v>9.8000000000000007</v>
      </c>
      <c r="K773">
        <v>12.9</v>
      </c>
      <c r="L773">
        <v>22</v>
      </c>
      <c r="M773">
        <v>297</v>
      </c>
      <c r="O773">
        <f t="shared" si="24"/>
        <v>1425.6</v>
      </c>
      <c r="P773">
        <f t="shared" si="25"/>
        <v>23.04</v>
      </c>
    </row>
    <row r="774" spans="1:16" x14ac:dyDescent="0.25">
      <c r="A774">
        <v>2014</v>
      </c>
      <c r="B774" t="s">
        <v>691</v>
      </c>
      <c r="C774" t="s">
        <v>692</v>
      </c>
      <c r="D774" t="s">
        <v>64</v>
      </c>
      <c r="E774">
        <v>4</v>
      </c>
      <c r="F774">
        <v>6</v>
      </c>
      <c r="G774" t="s">
        <v>16</v>
      </c>
      <c r="H774" t="s">
        <v>143</v>
      </c>
      <c r="I774">
        <v>14.3</v>
      </c>
      <c r="J774">
        <v>11.1</v>
      </c>
      <c r="K774">
        <v>12.9</v>
      </c>
      <c r="L774">
        <v>22</v>
      </c>
      <c r="M774">
        <v>297</v>
      </c>
      <c r="O774">
        <f t="shared" si="24"/>
        <v>1188</v>
      </c>
      <c r="P774">
        <f t="shared" si="25"/>
        <v>16</v>
      </c>
    </row>
    <row r="775" spans="1:16" x14ac:dyDescent="0.25">
      <c r="A775">
        <v>2014</v>
      </c>
      <c r="B775" t="s">
        <v>691</v>
      </c>
      <c r="C775" t="s">
        <v>693</v>
      </c>
      <c r="D775" t="s">
        <v>64</v>
      </c>
      <c r="E775">
        <v>4</v>
      </c>
      <c r="F775">
        <v>6</v>
      </c>
      <c r="G775" t="s">
        <v>16</v>
      </c>
      <c r="H775" t="s">
        <v>143</v>
      </c>
      <c r="I775">
        <v>14.3</v>
      </c>
      <c r="J775">
        <v>11.1</v>
      </c>
      <c r="K775">
        <v>12.9</v>
      </c>
      <c r="L775">
        <v>22</v>
      </c>
      <c r="M775">
        <v>297</v>
      </c>
      <c r="O775">
        <f t="shared" si="24"/>
        <v>1188</v>
      </c>
      <c r="P775">
        <f t="shared" si="25"/>
        <v>16</v>
      </c>
    </row>
    <row r="776" spans="1:16" x14ac:dyDescent="0.25">
      <c r="A776">
        <v>2014</v>
      </c>
      <c r="B776" t="s">
        <v>691</v>
      </c>
      <c r="C776" t="s">
        <v>702</v>
      </c>
      <c r="D776" t="s">
        <v>22</v>
      </c>
      <c r="E776">
        <v>4</v>
      </c>
      <c r="F776">
        <v>6</v>
      </c>
      <c r="G776" t="s">
        <v>224</v>
      </c>
      <c r="H776" t="s">
        <v>143</v>
      </c>
      <c r="I776">
        <v>14.3</v>
      </c>
      <c r="J776">
        <v>11.2</v>
      </c>
      <c r="K776">
        <v>12.9</v>
      </c>
      <c r="L776">
        <v>22</v>
      </c>
      <c r="M776">
        <v>297</v>
      </c>
      <c r="O776">
        <f t="shared" si="24"/>
        <v>1188</v>
      </c>
      <c r="P776">
        <f t="shared" si="25"/>
        <v>16</v>
      </c>
    </row>
    <row r="777" spans="1:16" x14ac:dyDescent="0.25">
      <c r="A777">
        <v>2014</v>
      </c>
      <c r="B777" t="s">
        <v>175</v>
      </c>
      <c r="C777" t="s">
        <v>203</v>
      </c>
      <c r="D777" t="s">
        <v>202</v>
      </c>
      <c r="E777">
        <v>5.3</v>
      </c>
      <c r="F777">
        <v>8</v>
      </c>
      <c r="G777" t="s">
        <v>33</v>
      </c>
      <c r="H777" t="s">
        <v>143</v>
      </c>
      <c r="I777">
        <v>14.9</v>
      </c>
      <c r="J777">
        <v>10.6</v>
      </c>
      <c r="K777">
        <v>13</v>
      </c>
      <c r="L777">
        <v>22</v>
      </c>
      <c r="M777">
        <v>299</v>
      </c>
      <c r="O777">
        <f t="shared" si="24"/>
        <v>1584.7</v>
      </c>
      <c r="P777">
        <f t="shared" si="25"/>
        <v>28.09</v>
      </c>
    </row>
    <row r="778" spans="1:16" x14ac:dyDescent="0.25">
      <c r="A778">
        <v>2014</v>
      </c>
      <c r="B778" t="s">
        <v>265</v>
      </c>
      <c r="C778" t="s">
        <v>277</v>
      </c>
      <c r="D778" t="s">
        <v>64</v>
      </c>
      <c r="E778">
        <v>3.5</v>
      </c>
      <c r="F778">
        <v>6</v>
      </c>
      <c r="G778" t="s">
        <v>23</v>
      </c>
      <c r="H778" t="s">
        <v>143</v>
      </c>
      <c r="I778">
        <v>14.8</v>
      </c>
      <c r="J778">
        <v>10.7</v>
      </c>
      <c r="K778">
        <v>13</v>
      </c>
      <c r="L778">
        <v>22</v>
      </c>
      <c r="M778">
        <v>299</v>
      </c>
      <c r="O778">
        <f t="shared" si="24"/>
        <v>1046.5</v>
      </c>
      <c r="P778">
        <f t="shared" si="25"/>
        <v>12.25</v>
      </c>
    </row>
    <row r="779" spans="1:16" x14ac:dyDescent="0.25">
      <c r="A779">
        <v>2014</v>
      </c>
      <c r="B779" t="s">
        <v>308</v>
      </c>
      <c r="C779" t="s">
        <v>320</v>
      </c>
      <c r="D779" t="s">
        <v>202</v>
      </c>
      <c r="E779">
        <v>5.3</v>
      </c>
      <c r="F779">
        <v>8</v>
      </c>
      <c r="G779" t="s">
        <v>33</v>
      </c>
      <c r="H779" t="s">
        <v>143</v>
      </c>
      <c r="I779">
        <v>14.9</v>
      </c>
      <c r="J779">
        <v>10.6</v>
      </c>
      <c r="K779">
        <v>13</v>
      </c>
      <c r="L779">
        <v>22</v>
      </c>
      <c r="M779">
        <v>299</v>
      </c>
      <c r="O779">
        <f t="shared" si="24"/>
        <v>1584.7</v>
      </c>
      <c r="P779">
        <f t="shared" si="25"/>
        <v>28.09</v>
      </c>
    </row>
    <row r="780" spans="1:16" x14ac:dyDescent="0.25">
      <c r="A780">
        <v>2014</v>
      </c>
      <c r="B780" t="s">
        <v>618</v>
      </c>
      <c r="C780" t="s">
        <v>637</v>
      </c>
      <c r="D780" t="s">
        <v>64</v>
      </c>
      <c r="E780">
        <v>4.8</v>
      </c>
      <c r="F780">
        <v>8</v>
      </c>
      <c r="G780" t="s">
        <v>53</v>
      </c>
      <c r="H780" t="s">
        <v>17</v>
      </c>
      <c r="I780">
        <v>15</v>
      </c>
      <c r="J780">
        <v>10.6</v>
      </c>
      <c r="K780">
        <v>13</v>
      </c>
      <c r="L780">
        <v>22</v>
      </c>
      <c r="M780">
        <v>299</v>
      </c>
      <c r="O780">
        <f t="shared" si="24"/>
        <v>1435.2</v>
      </c>
      <c r="P780">
        <f t="shared" si="25"/>
        <v>23.04</v>
      </c>
    </row>
    <row r="781" spans="1:16" x14ac:dyDescent="0.25">
      <c r="A781">
        <v>2014</v>
      </c>
      <c r="B781" t="s">
        <v>232</v>
      </c>
      <c r="C781" t="s">
        <v>235</v>
      </c>
      <c r="D781" t="s">
        <v>26</v>
      </c>
      <c r="E781">
        <v>5.7</v>
      </c>
      <c r="F781">
        <v>8</v>
      </c>
      <c r="G781" t="s">
        <v>18</v>
      </c>
      <c r="H781" t="s">
        <v>143</v>
      </c>
      <c r="I781">
        <v>15.6</v>
      </c>
      <c r="J781">
        <v>10</v>
      </c>
      <c r="K781">
        <v>13.1</v>
      </c>
      <c r="L781">
        <v>22</v>
      </c>
      <c r="M781">
        <v>301</v>
      </c>
      <c r="O781">
        <f t="shared" si="24"/>
        <v>1715.7</v>
      </c>
      <c r="P781">
        <f t="shared" si="25"/>
        <v>32.49</v>
      </c>
    </row>
    <row r="782" spans="1:16" x14ac:dyDescent="0.25">
      <c r="A782">
        <v>2014</v>
      </c>
      <c r="B782" t="s">
        <v>376</v>
      </c>
      <c r="C782" t="s">
        <v>390</v>
      </c>
      <c r="D782" t="s">
        <v>32</v>
      </c>
      <c r="E782">
        <v>5</v>
      </c>
      <c r="F782">
        <v>8</v>
      </c>
      <c r="G782" t="s">
        <v>23</v>
      </c>
      <c r="H782" t="s">
        <v>17</v>
      </c>
      <c r="I782">
        <v>15.1</v>
      </c>
      <c r="J782">
        <v>10.6</v>
      </c>
      <c r="K782">
        <v>13.1</v>
      </c>
      <c r="L782">
        <v>22</v>
      </c>
      <c r="M782">
        <v>301</v>
      </c>
      <c r="O782">
        <f t="shared" si="24"/>
        <v>1505</v>
      </c>
      <c r="P782">
        <f t="shared" si="25"/>
        <v>25</v>
      </c>
    </row>
    <row r="783" spans="1:16" x14ac:dyDescent="0.25">
      <c r="A783">
        <v>2014</v>
      </c>
      <c r="B783" t="s">
        <v>483</v>
      </c>
      <c r="C783" t="s">
        <v>489</v>
      </c>
      <c r="D783" t="s">
        <v>56</v>
      </c>
      <c r="E783">
        <v>3</v>
      </c>
      <c r="F783">
        <v>6</v>
      </c>
      <c r="G783" t="s">
        <v>45</v>
      </c>
      <c r="H783" t="s">
        <v>17</v>
      </c>
      <c r="I783">
        <v>15.9</v>
      </c>
      <c r="J783">
        <v>9.6999999999999993</v>
      </c>
      <c r="K783">
        <v>13.1</v>
      </c>
      <c r="L783">
        <v>22</v>
      </c>
      <c r="M783">
        <v>301</v>
      </c>
      <c r="O783">
        <f t="shared" si="24"/>
        <v>903</v>
      </c>
      <c r="P783">
        <f t="shared" si="25"/>
        <v>9</v>
      </c>
    </row>
    <row r="784" spans="1:16" x14ac:dyDescent="0.25">
      <c r="A784">
        <v>2014</v>
      </c>
      <c r="B784" t="s">
        <v>506</v>
      </c>
      <c r="C784" t="s">
        <v>522</v>
      </c>
      <c r="D784" t="s">
        <v>15</v>
      </c>
      <c r="E784">
        <v>5.5</v>
      </c>
      <c r="F784">
        <v>8</v>
      </c>
      <c r="G784" t="s">
        <v>360</v>
      </c>
      <c r="H784" t="s">
        <v>17</v>
      </c>
      <c r="I784">
        <v>15.1</v>
      </c>
      <c r="J784">
        <v>10.7</v>
      </c>
      <c r="K784">
        <v>13.1</v>
      </c>
      <c r="L784">
        <v>22</v>
      </c>
      <c r="M784">
        <v>301</v>
      </c>
      <c r="O784">
        <f t="shared" si="24"/>
        <v>1655.5</v>
      </c>
      <c r="P784">
        <f t="shared" si="25"/>
        <v>30.25</v>
      </c>
    </row>
    <row r="785" spans="1:16" x14ac:dyDescent="0.25">
      <c r="A785">
        <v>2014</v>
      </c>
      <c r="B785" t="s">
        <v>506</v>
      </c>
      <c r="C785" t="s">
        <v>523</v>
      </c>
      <c r="D785" t="s">
        <v>15</v>
      </c>
      <c r="E785">
        <v>5.5</v>
      </c>
      <c r="F785">
        <v>8</v>
      </c>
      <c r="G785" t="s">
        <v>360</v>
      </c>
      <c r="H785" t="s">
        <v>17</v>
      </c>
      <c r="I785">
        <v>15.1</v>
      </c>
      <c r="J785">
        <v>10.7</v>
      </c>
      <c r="K785">
        <v>13.1</v>
      </c>
      <c r="L785">
        <v>22</v>
      </c>
      <c r="M785">
        <v>301</v>
      </c>
      <c r="O785">
        <f t="shared" si="24"/>
        <v>1655.5</v>
      </c>
      <c r="P785">
        <f t="shared" si="25"/>
        <v>30.25</v>
      </c>
    </row>
    <row r="786" spans="1:16" x14ac:dyDescent="0.25">
      <c r="A786">
        <v>2014</v>
      </c>
      <c r="B786" t="s">
        <v>593</v>
      </c>
      <c r="C786" t="s">
        <v>600</v>
      </c>
      <c r="D786" t="s">
        <v>599</v>
      </c>
      <c r="E786">
        <v>4</v>
      </c>
      <c r="F786">
        <v>6</v>
      </c>
      <c r="G786" t="s">
        <v>18</v>
      </c>
      <c r="H786" t="s">
        <v>143</v>
      </c>
      <c r="I786">
        <v>14.8</v>
      </c>
      <c r="J786">
        <v>11</v>
      </c>
      <c r="K786">
        <v>13.1</v>
      </c>
      <c r="L786">
        <v>22</v>
      </c>
      <c r="M786">
        <v>301</v>
      </c>
      <c r="O786">
        <f t="shared" si="24"/>
        <v>1204</v>
      </c>
      <c r="P786">
        <f t="shared" si="25"/>
        <v>16</v>
      </c>
    </row>
    <row r="787" spans="1:16" x14ac:dyDescent="0.25">
      <c r="A787">
        <v>2014</v>
      </c>
      <c r="B787" t="s">
        <v>681</v>
      </c>
      <c r="C787" t="s">
        <v>688</v>
      </c>
      <c r="D787" t="s">
        <v>22</v>
      </c>
      <c r="E787">
        <v>3.6</v>
      </c>
      <c r="F787">
        <v>6</v>
      </c>
      <c r="G787" t="s">
        <v>16</v>
      </c>
      <c r="H787" t="s">
        <v>143</v>
      </c>
      <c r="I787">
        <v>14.7</v>
      </c>
      <c r="J787">
        <v>11.1</v>
      </c>
      <c r="K787">
        <v>13.1</v>
      </c>
      <c r="L787">
        <v>22</v>
      </c>
      <c r="M787">
        <v>301</v>
      </c>
      <c r="O787">
        <f t="shared" si="24"/>
        <v>1083.6000000000001</v>
      </c>
      <c r="P787">
        <f t="shared" si="25"/>
        <v>12.96</v>
      </c>
    </row>
    <row r="788" spans="1:16" x14ac:dyDescent="0.25">
      <c r="A788">
        <v>2014</v>
      </c>
      <c r="B788" t="s">
        <v>691</v>
      </c>
      <c r="C788" t="s">
        <v>716</v>
      </c>
      <c r="D788" t="s">
        <v>599</v>
      </c>
      <c r="E788">
        <v>4</v>
      </c>
      <c r="F788">
        <v>6</v>
      </c>
      <c r="G788" t="s">
        <v>18</v>
      </c>
      <c r="H788" t="s">
        <v>143</v>
      </c>
      <c r="I788">
        <v>14.5</v>
      </c>
      <c r="J788">
        <v>11.3</v>
      </c>
      <c r="K788">
        <v>13.1</v>
      </c>
      <c r="L788">
        <v>22</v>
      </c>
      <c r="M788">
        <v>301</v>
      </c>
      <c r="O788">
        <f t="shared" si="24"/>
        <v>1204</v>
      </c>
      <c r="P788">
        <f t="shared" si="25"/>
        <v>16</v>
      </c>
    </row>
    <row r="789" spans="1:16" x14ac:dyDescent="0.25">
      <c r="A789">
        <v>2014</v>
      </c>
      <c r="B789" t="s">
        <v>41</v>
      </c>
      <c r="C789" t="s">
        <v>63</v>
      </c>
      <c r="D789" t="s">
        <v>64</v>
      </c>
      <c r="E789">
        <v>3</v>
      </c>
      <c r="F789">
        <v>6</v>
      </c>
      <c r="G789" t="s">
        <v>45</v>
      </c>
      <c r="H789" t="s">
        <v>17</v>
      </c>
      <c r="I789">
        <v>15.1</v>
      </c>
      <c r="J789">
        <v>10.9</v>
      </c>
      <c r="K789">
        <v>13.2</v>
      </c>
      <c r="L789">
        <v>21</v>
      </c>
      <c r="M789">
        <v>304</v>
      </c>
      <c r="O789">
        <f t="shared" si="24"/>
        <v>912</v>
      </c>
      <c r="P789">
        <f t="shared" si="25"/>
        <v>9</v>
      </c>
    </row>
    <row r="790" spans="1:16" x14ac:dyDescent="0.25">
      <c r="A790">
        <v>2014</v>
      </c>
      <c r="B790" t="s">
        <v>265</v>
      </c>
      <c r="C790" t="s">
        <v>298</v>
      </c>
      <c r="D790" t="s">
        <v>35</v>
      </c>
      <c r="E790">
        <v>5.8</v>
      </c>
      <c r="F790">
        <v>8</v>
      </c>
      <c r="G790" t="s">
        <v>18</v>
      </c>
      <c r="H790" t="s">
        <v>17</v>
      </c>
      <c r="I790">
        <v>15.9</v>
      </c>
      <c r="J790">
        <v>9.9</v>
      </c>
      <c r="K790">
        <v>13.2</v>
      </c>
      <c r="L790">
        <v>21</v>
      </c>
      <c r="M790">
        <v>304</v>
      </c>
      <c r="O790">
        <f t="shared" si="24"/>
        <v>1763.2</v>
      </c>
      <c r="P790">
        <f t="shared" si="25"/>
        <v>33.64</v>
      </c>
    </row>
    <row r="791" spans="1:16" x14ac:dyDescent="0.25">
      <c r="A791">
        <v>2014</v>
      </c>
      <c r="B791" t="s">
        <v>342</v>
      </c>
      <c r="C791" t="s">
        <v>345</v>
      </c>
      <c r="D791" t="s">
        <v>56</v>
      </c>
      <c r="E791">
        <v>5</v>
      </c>
      <c r="F791">
        <v>8</v>
      </c>
      <c r="G791" t="s">
        <v>53</v>
      </c>
      <c r="H791" t="s">
        <v>17</v>
      </c>
      <c r="I791">
        <v>15.7</v>
      </c>
      <c r="J791">
        <v>10.199999999999999</v>
      </c>
      <c r="K791">
        <v>13.2</v>
      </c>
      <c r="L791">
        <v>21</v>
      </c>
      <c r="M791">
        <v>304</v>
      </c>
      <c r="O791">
        <f t="shared" si="24"/>
        <v>1520</v>
      </c>
      <c r="P791">
        <f t="shared" si="25"/>
        <v>25</v>
      </c>
    </row>
    <row r="792" spans="1:16" x14ac:dyDescent="0.25">
      <c r="A792">
        <v>2014</v>
      </c>
      <c r="B792" t="s">
        <v>506</v>
      </c>
      <c r="C792" t="s">
        <v>517</v>
      </c>
      <c r="D792" t="s">
        <v>15</v>
      </c>
      <c r="E792">
        <v>4.7</v>
      </c>
      <c r="F792">
        <v>8</v>
      </c>
      <c r="G792" t="s">
        <v>360</v>
      </c>
      <c r="H792" t="s">
        <v>17</v>
      </c>
      <c r="I792">
        <v>15.4</v>
      </c>
      <c r="J792">
        <v>10.4</v>
      </c>
      <c r="K792">
        <v>13.2</v>
      </c>
      <c r="L792">
        <v>21</v>
      </c>
      <c r="M792">
        <v>304</v>
      </c>
      <c r="O792">
        <f t="shared" si="24"/>
        <v>1428.8</v>
      </c>
      <c r="P792">
        <f t="shared" si="25"/>
        <v>22.090000000000003</v>
      </c>
    </row>
    <row r="793" spans="1:16" x14ac:dyDescent="0.25">
      <c r="A793">
        <v>2014</v>
      </c>
      <c r="B793" t="s">
        <v>506</v>
      </c>
      <c r="C793" t="s">
        <v>553</v>
      </c>
      <c r="D793" t="s">
        <v>56</v>
      </c>
      <c r="E793">
        <v>5.5</v>
      </c>
      <c r="F793">
        <v>8</v>
      </c>
      <c r="G793" t="s">
        <v>360</v>
      </c>
      <c r="H793" t="s">
        <v>17</v>
      </c>
      <c r="I793">
        <v>15.6</v>
      </c>
      <c r="J793">
        <v>10.3</v>
      </c>
      <c r="K793">
        <v>13.2</v>
      </c>
      <c r="L793">
        <v>21</v>
      </c>
      <c r="M793">
        <v>304</v>
      </c>
      <c r="O793">
        <f t="shared" si="24"/>
        <v>1672</v>
      </c>
      <c r="P793">
        <f t="shared" si="25"/>
        <v>30.25</v>
      </c>
    </row>
    <row r="794" spans="1:16" x14ac:dyDescent="0.25">
      <c r="A794">
        <v>2014</v>
      </c>
      <c r="B794" t="s">
        <v>41</v>
      </c>
      <c r="C794" t="s">
        <v>69</v>
      </c>
      <c r="D794" t="s">
        <v>35</v>
      </c>
      <c r="E794">
        <v>4.2</v>
      </c>
      <c r="F794">
        <v>8</v>
      </c>
      <c r="G794" t="s">
        <v>67</v>
      </c>
      <c r="H794" t="s">
        <v>17</v>
      </c>
      <c r="I794">
        <v>15.3</v>
      </c>
      <c r="J794">
        <v>10.9</v>
      </c>
      <c r="K794">
        <v>13.3</v>
      </c>
      <c r="L794">
        <v>21</v>
      </c>
      <c r="M794">
        <v>306</v>
      </c>
      <c r="O794">
        <f t="shared" si="24"/>
        <v>1285.2</v>
      </c>
      <c r="P794">
        <f t="shared" si="25"/>
        <v>17.64</v>
      </c>
    </row>
    <row r="795" spans="1:16" x14ac:dyDescent="0.25">
      <c r="A795">
        <v>2014</v>
      </c>
      <c r="B795" t="s">
        <v>376</v>
      </c>
      <c r="C795" t="s">
        <v>382</v>
      </c>
      <c r="D795" t="s">
        <v>26</v>
      </c>
      <c r="E795">
        <v>5</v>
      </c>
      <c r="F795">
        <v>8</v>
      </c>
      <c r="G795" t="s">
        <v>45</v>
      </c>
      <c r="H795" t="s">
        <v>17</v>
      </c>
      <c r="I795">
        <v>15.7</v>
      </c>
      <c r="J795">
        <v>10.3</v>
      </c>
      <c r="K795">
        <v>13.3</v>
      </c>
      <c r="L795">
        <v>21</v>
      </c>
      <c r="M795">
        <v>306</v>
      </c>
      <c r="O795">
        <f t="shared" si="24"/>
        <v>1530</v>
      </c>
      <c r="P795">
        <f t="shared" si="25"/>
        <v>25</v>
      </c>
    </row>
    <row r="796" spans="1:16" x14ac:dyDescent="0.25">
      <c r="A796">
        <v>2014</v>
      </c>
      <c r="B796" t="s">
        <v>376</v>
      </c>
      <c r="C796" t="s">
        <v>383</v>
      </c>
      <c r="D796" t="s">
        <v>26</v>
      </c>
      <c r="E796">
        <v>5</v>
      </c>
      <c r="F796">
        <v>8</v>
      </c>
      <c r="G796" t="s">
        <v>45</v>
      </c>
      <c r="H796" t="s">
        <v>17</v>
      </c>
      <c r="I796">
        <v>15.7</v>
      </c>
      <c r="J796">
        <v>10.3</v>
      </c>
      <c r="K796">
        <v>13.3</v>
      </c>
      <c r="L796">
        <v>21</v>
      </c>
      <c r="M796">
        <v>306</v>
      </c>
      <c r="O796">
        <f t="shared" si="24"/>
        <v>1530</v>
      </c>
      <c r="P796">
        <f t="shared" si="25"/>
        <v>25</v>
      </c>
    </row>
    <row r="797" spans="1:16" x14ac:dyDescent="0.25">
      <c r="A797">
        <v>2014</v>
      </c>
      <c r="B797" t="s">
        <v>376</v>
      </c>
      <c r="C797" t="s">
        <v>385</v>
      </c>
      <c r="D797" t="s">
        <v>56</v>
      </c>
      <c r="E797">
        <v>5</v>
      </c>
      <c r="F797">
        <v>8</v>
      </c>
      <c r="G797" t="s">
        <v>45</v>
      </c>
      <c r="H797" t="s">
        <v>17</v>
      </c>
      <c r="I797">
        <v>15.8</v>
      </c>
      <c r="J797">
        <v>10.199999999999999</v>
      </c>
      <c r="K797">
        <v>13.3</v>
      </c>
      <c r="L797">
        <v>21</v>
      </c>
      <c r="M797">
        <v>306</v>
      </c>
      <c r="O797">
        <f t="shared" si="24"/>
        <v>1530</v>
      </c>
      <c r="P797">
        <f t="shared" si="25"/>
        <v>25</v>
      </c>
    </row>
    <row r="798" spans="1:16" x14ac:dyDescent="0.25">
      <c r="A798">
        <v>2014</v>
      </c>
      <c r="B798" t="s">
        <v>376</v>
      </c>
      <c r="C798" t="s">
        <v>387</v>
      </c>
      <c r="D798" t="s">
        <v>56</v>
      </c>
      <c r="E798">
        <v>5</v>
      </c>
      <c r="F798">
        <v>8</v>
      </c>
      <c r="G798" t="s">
        <v>45</v>
      </c>
      <c r="H798" t="s">
        <v>17</v>
      </c>
      <c r="I798">
        <v>15.8</v>
      </c>
      <c r="J798">
        <v>10.199999999999999</v>
      </c>
      <c r="K798">
        <v>13.3</v>
      </c>
      <c r="L798">
        <v>21</v>
      </c>
      <c r="M798">
        <v>306</v>
      </c>
      <c r="O798">
        <f t="shared" si="24"/>
        <v>1530</v>
      </c>
      <c r="P798">
        <f t="shared" si="25"/>
        <v>25</v>
      </c>
    </row>
    <row r="799" spans="1:16" x14ac:dyDescent="0.25">
      <c r="A799">
        <v>2014</v>
      </c>
      <c r="B799" t="s">
        <v>376</v>
      </c>
      <c r="C799" t="s">
        <v>388</v>
      </c>
      <c r="D799" t="s">
        <v>56</v>
      </c>
      <c r="E799">
        <v>5</v>
      </c>
      <c r="F799">
        <v>8</v>
      </c>
      <c r="G799" t="s">
        <v>45</v>
      </c>
      <c r="H799" t="s">
        <v>17</v>
      </c>
      <c r="I799">
        <v>15.8</v>
      </c>
      <c r="J799">
        <v>10.199999999999999</v>
      </c>
      <c r="K799">
        <v>13.3</v>
      </c>
      <c r="L799">
        <v>21</v>
      </c>
      <c r="M799">
        <v>306</v>
      </c>
      <c r="O799">
        <f t="shared" si="24"/>
        <v>1530</v>
      </c>
      <c r="P799">
        <f t="shared" si="25"/>
        <v>25</v>
      </c>
    </row>
    <row r="800" spans="1:16" x14ac:dyDescent="0.25">
      <c r="A800">
        <v>2014</v>
      </c>
      <c r="B800" t="s">
        <v>376</v>
      </c>
      <c r="C800" t="s">
        <v>389</v>
      </c>
      <c r="D800" t="s">
        <v>56</v>
      </c>
      <c r="E800">
        <v>5</v>
      </c>
      <c r="F800">
        <v>8</v>
      </c>
      <c r="G800" t="s">
        <v>45</v>
      </c>
      <c r="H800" t="s">
        <v>17</v>
      </c>
      <c r="I800">
        <v>15.8</v>
      </c>
      <c r="J800">
        <v>10.199999999999999</v>
      </c>
      <c r="K800">
        <v>13.3</v>
      </c>
      <c r="L800">
        <v>21</v>
      </c>
      <c r="M800">
        <v>306</v>
      </c>
      <c r="O800">
        <f t="shared" si="24"/>
        <v>1530</v>
      </c>
      <c r="P800">
        <f t="shared" si="25"/>
        <v>25</v>
      </c>
    </row>
    <row r="801" spans="1:16" x14ac:dyDescent="0.25">
      <c r="A801">
        <v>2014</v>
      </c>
      <c r="B801" t="s">
        <v>691</v>
      </c>
      <c r="C801" t="s">
        <v>717</v>
      </c>
      <c r="D801" t="s">
        <v>599</v>
      </c>
      <c r="E801">
        <v>4</v>
      </c>
      <c r="F801">
        <v>6</v>
      </c>
      <c r="G801" t="s">
        <v>224</v>
      </c>
      <c r="H801" t="s">
        <v>143</v>
      </c>
      <c r="I801">
        <v>14.7</v>
      </c>
      <c r="J801">
        <v>11.5</v>
      </c>
      <c r="K801">
        <v>13.3</v>
      </c>
      <c r="L801">
        <v>21</v>
      </c>
      <c r="M801">
        <v>306</v>
      </c>
      <c r="O801">
        <f t="shared" si="24"/>
        <v>1224</v>
      </c>
      <c r="P801">
        <f t="shared" si="25"/>
        <v>16</v>
      </c>
    </row>
    <row r="802" spans="1:16" x14ac:dyDescent="0.25">
      <c r="A802">
        <v>2014</v>
      </c>
      <c r="B802" t="s">
        <v>41</v>
      </c>
      <c r="C802" t="s">
        <v>70</v>
      </c>
      <c r="D802" t="s">
        <v>35</v>
      </c>
      <c r="E802">
        <v>4.2</v>
      </c>
      <c r="F802">
        <v>8</v>
      </c>
      <c r="G802" t="s">
        <v>67</v>
      </c>
      <c r="H802" t="s">
        <v>17</v>
      </c>
      <c r="I802">
        <v>15.2</v>
      </c>
      <c r="J802">
        <v>11.3</v>
      </c>
      <c r="K802">
        <v>13.4</v>
      </c>
      <c r="L802">
        <v>21</v>
      </c>
      <c r="M802">
        <v>308</v>
      </c>
      <c r="O802">
        <f t="shared" si="24"/>
        <v>1293.6000000000001</v>
      </c>
      <c r="P802">
        <f t="shared" si="25"/>
        <v>17.64</v>
      </c>
    </row>
    <row r="803" spans="1:16" x14ac:dyDescent="0.25">
      <c r="A803">
        <v>2014</v>
      </c>
      <c r="B803" t="s">
        <v>218</v>
      </c>
      <c r="C803" t="s">
        <v>226</v>
      </c>
      <c r="D803" t="s">
        <v>56</v>
      </c>
      <c r="E803">
        <v>5.7</v>
      </c>
      <c r="F803">
        <v>8</v>
      </c>
      <c r="G803" t="s">
        <v>224</v>
      </c>
      <c r="H803" t="s">
        <v>143</v>
      </c>
      <c r="I803">
        <v>16.100000000000001</v>
      </c>
      <c r="J803">
        <v>10</v>
      </c>
      <c r="K803">
        <v>13.4</v>
      </c>
      <c r="L803">
        <v>21</v>
      </c>
      <c r="M803">
        <v>308</v>
      </c>
      <c r="O803">
        <f t="shared" si="24"/>
        <v>1755.6000000000001</v>
      </c>
      <c r="P803">
        <f t="shared" si="25"/>
        <v>32.49</v>
      </c>
    </row>
    <row r="804" spans="1:16" x14ac:dyDescent="0.25">
      <c r="A804">
        <v>2014</v>
      </c>
      <c r="B804" t="s">
        <v>232</v>
      </c>
      <c r="C804" t="s">
        <v>242</v>
      </c>
      <c r="D804" t="s">
        <v>56</v>
      </c>
      <c r="E804">
        <v>5.7</v>
      </c>
      <c r="F804">
        <v>8</v>
      </c>
      <c r="G804" t="s">
        <v>224</v>
      </c>
      <c r="H804" t="s">
        <v>143</v>
      </c>
      <c r="I804">
        <v>16.100000000000001</v>
      </c>
      <c r="J804">
        <v>10</v>
      </c>
      <c r="K804">
        <v>13.4</v>
      </c>
      <c r="L804">
        <v>21</v>
      </c>
      <c r="M804">
        <v>308</v>
      </c>
      <c r="O804">
        <f t="shared" si="24"/>
        <v>1755.6000000000001</v>
      </c>
      <c r="P804">
        <f t="shared" si="25"/>
        <v>32.49</v>
      </c>
    </row>
    <row r="805" spans="1:16" x14ac:dyDescent="0.25">
      <c r="A805">
        <v>2014</v>
      </c>
      <c r="B805" t="s">
        <v>265</v>
      </c>
      <c r="C805" t="s">
        <v>281</v>
      </c>
      <c r="D805" t="s">
        <v>202</v>
      </c>
      <c r="E805">
        <v>3.5</v>
      </c>
      <c r="F805">
        <v>6</v>
      </c>
      <c r="G805" t="s">
        <v>23</v>
      </c>
      <c r="H805" t="s">
        <v>143</v>
      </c>
      <c r="I805">
        <v>15.4</v>
      </c>
      <c r="J805">
        <v>11</v>
      </c>
      <c r="K805">
        <v>13.4</v>
      </c>
      <c r="L805">
        <v>21</v>
      </c>
      <c r="M805">
        <v>308</v>
      </c>
      <c r="O805">
        <f t="shared" si="24"/>
        <v>1078</v>
      </c>
      <c r="P805">
        <f t="shared" si="25"/>
        <v>12.25</v>
      </c>
    </row>
    <row r="806" spans="1:16" x14ac:dyDescent="0.25">
      <c r="A806">
        <v>2014</v>
      </c>
      <c r="B806" t="s">
        <v>265</v>
      </c>
      <c r="C806" t="s">
        <v>283</v>
      </c>
      <c r="D806" t="s">
        <v>202</v>
      </c>
      <c r="E806">
        <v>3.7</v>
      </c>
      <c r="F806">
        <v>6</v>
      </c>
      <c r="G806" t="s">
        <v>33</v>
      </c>
      <c r="H806" t="s">
        <v>143</v>
      </c>
      <c r="I806">
        <v>15</v>
      </c>
      <c r="J806">
        <v>11.4</v>
      </c>
      <c r="K806">
        <v>13.4</v>
      </c>
      <c r="L806">
        <v>21</v>
      </c>
      <c r="M806">
        <v>308</v>
      </c>
      <c r="O806">
        <f t="shared" si="24"/>
        <v>1139.6000000000001</v>
      </c>
      <c r="P806">
        <f t="shared" si="25"/>
        <v>13.690000000000001</v>
      </c>
    </row>
    <row r="807" spans="1:16" x14ac:dyDescent="0.25">
      <c r="A807">
        <v>2014</v>
      </c>
      <c r="B807" t="s">
        <v>265</v>
      </c>
      <c r="C807" t="s">
        <v>283</v>
      </c>
      <c r="D807" t="s">
        <v>202</v>
      </c>
      <c r="E807">
        <v>3.7</v>
      </c>
      <c r="F807">
        <v>6</v>
      </c>
      <c r="G807" t="s">
        <v>23</v>
      </c>
      <c r="H807" t="s">
        <v>143</v>
      </c>
      <c r="I807">
        <v>15</v>
      </c>
      <c r="J807">
        <v>11.4</v>
      </c>
      <c r="K807">
        <v>13.4</v>
      </c>
      <c r="L807">
        <v>21</v>
      </c>
      <c r="M807">
        <v>308</v>
      </c>
      <c r="O807">
        <f t="shared" si="24"/>
        <v>1139.6000000000001</v>
      </c>
      <c r="P807">
        <f t="shared" si="25"/>
        <v>13.690000000000001</v>
      </c>
    </row>
    <row r="808" spans="1:16" x14ac:dyDescent="0.25">
      <c r="A808">
        <v>2014</v>
      </c>
      <c r="B808" t="s">
        <v>329</v>
      </c>
      <c r="C808" t="s">
        <v>341</v>
      </c>
      <c r="D808" t="s">
        <v>202</v>
      </c>
      <c r="E808">
        <v>3.5</v>
      </c>
      <c r="F808">
        <v>6</v>
      </c>
      <c r="G808" t="s">
        <v>224</v>
      </c>
      <c r="H808" t="s">
        <v>143</v>
      </c>
      <c r="I808">
        <v>15.2</v>
      </c>
      <c r="J808">
        <v>11.3</v>
      </c>
      <c r="K808">
        <v>13.4</v>
      </c>
      <c r="L808">
        <v>21</v>
      </c>
      <c r="M808">
        <v>308</v>
      </c>
      <c r="O808">
        <f t="shared" si="24"/>
        <v>1078</v>
      </c>
      <c r="P808">
        <f t="shared" si="25"/>
        <v>12.25</v>
      </c>
    </row>
    <row r="809" spans="1:16" x14ac:dyDescent="0.25">
      <c r="A809">
        <v>2014</v>
      </c>
      <c r="B809" t="s">
        <v>396</v>
      </c>
      <c r="C809" t="s">
        <v>413</v>
      </c>
      <c r="D809" t="s">
        <v>22</v>
      </c>
      <c r="E809">
        <v>3.6</v>
      </c>
      <c r="F809">
        <v>6</v>
      </c>
      <c r="G809" t="s">
        <v>224</v>
      </c>
      <c r="H809" t="s">
        <v>143</v>
      </c>
      <c r="I809">
        <v>14.8</v>
      </c>
      <c r="J809">
        <v>11.7</v>
      </c>
      <c r="K809">
        <v>13.4</v>
      </c>
      <c r="L809">
        <v>21</v>
      </c>
      <c r="M809">
        <v>308</v>
      </c>
      <c r="O809">
        <f t="shared" si="24"/>
        <v>1108.8</v>
      </c>
      <c r="P809">
        <f t="shared" si="25"/>
        <v>12.96</v>
      </c>
    </row>
    <row r="810" spans="1:16" x14ac:dyDescent="0.25">
      <c r="A810">
        <v>2014</v>
      </c>
      <c r="B810" t="s">
        <v>396</v>
      </c>
      <c r="C810" t="s">
        <v>413</v>
      </c>
      <c r="D810" t="s">
        <v>22</v>
      </c>
      <c r="E810">
        <v>3.6</v>
      </c>
      <c r="F810">
        <v>6</v>
      </c>
      <c r="G810" t="s">
        <v>18</v>
      </c>
      <c r="H810" t="s">
        <v>143</v>
      </c>
      <c r="I810">
        <v>15</v>
      </c>
      <c r="J810">
        <v>11.4</v>
      </c>
      <c r="K810">
        <v>13.4</v>
      </c>
      <c r="L810">
        <v>21</v>
      </c>
      <c r="M810">
        <v>308</v>
      </c>
      <c r="O810">
        <f t="shared" si="24"/>
        <v>1108.8</v>
      </c>
      <c r="P810">
        <f t="shared" si="25"/>
        <v>12.96</v>
      </c>
    </row>
    <row r="811" spans="1:16" x14ac:dyDescent="0.25">
      <c r="A811">
        <v>2014</v>
      </c>
      <c r="B811" t="s">
        <v>506</v>
      </c>
      <c r="C811" t="s">
        <v>518</v>
      </c>
      <c r="D811" t="s">
        <v>15</v>
      </c>
      <c r="E811">
        <v>5.5</v>
      </c>
      <c r="F811">
        <v>8</v>
      </c>
      <c r="G811" t="s">
        <v>360</v>
      </c>
      <c r="H811" t="s">
        <v>17</v>
      </c>
      <c r="I811">
        <v>15.4</v>
      </c>
      <c r="J811">
        <v>11</v>
      </c>
      <c r="K811">
        <v>13.4</v>
      </c>
      <c r="L811">
        <v>21</v>
      </c>
      <c r="M811">
        <v>308</v>
      </c>
      <c r="O811">
        <f t="shared" si="24"/>
        <v>1694</v>
      </c>
      <c r="P811">
        <f t="shared" si="25"/>
        <v>30.25</v>
      </c>
    </row>
    <row r="812" spans="1:16" x14ac:dyDescent="0.25">
      <c r="A812">
        <v>2014</v>
      </c>
      <c r="B812" t="s">
        <v>376</v>
      </c>
      <c r="C812" t="s">
        <v>393</v>
      </c>
      <c r="D812" t="s">
        <v>32</v>
      </c>
      <c r="E812">
        <v>5</v>
      </c>
      <c r="F812">
        <v>8</v>
      </c>
      <c r="G812" t="s">
        <v>23</v>
      </c>
      <c r="H812" t="s">
        <v>17</v>
      </c>
      <c r="I812">
        <v>15.6</v>
      </c>
      <c r="J812">
        <v>10.9</v>
      </c>
      <c r="K812">
        <v>13.5</v>
      </c>
      <c r="L812">
        <v>21</v>
      </c>
      <c r="M812">
        <v>310</v>
      </c>
      <c r="O812">
        <f t="shared" si="24"/>
        <v>1550</v>
      </c>
      <c r="P812">
        <f t="shared" si="25"/>
        <v>25</v>
      </c>
    </row>
    <row r="813" spans="1:16" x14ac:dyDescent="0.25">
      <c r="A813">
        <v>2014</v>
      </c>
      <c r="B813" t="s">
        <v>376</v>
      </c>
      <c r="C813" t="s">
        <v>395</v>
      </c>
      <c r="D813" t="s">
        <v>32</v>
      </c>
      <c r="E813">
        <v>5</v>
      </c>
      <c r="F813">
        <v>8</v>
      </c>
      <c r="G813" t="s">
        <v>23</v>
      </c>
      <c r="H813" t="s">
        <v>17</v>
      </c>
      <c r="I813">
        <v>15.6</v>
      </c>
      <c r="J813">
        <v>10.9</v>
      </c>
      <c r="K813">
        <v>13.5</v>
      </c>
      <c r="L813">
        <v>21</v>
      </c>
      <c r="M813">
        <v>310</v>
      </c>
      <c r="O813">
        <f t="shared" si="24"/>
        <v>1550</v>
      </c>
      <c r="P813">
        <f t="shared" si="25"/>
        <v>25</v>
      </c>
    </row>
    <row r="814" spans="1:16" x14ac:dyDescent="0.25">
      <c r="A814">
        <v>2014</v>
      </c>
      <c r="B814" t="s">
        <v>506</v>
      </c>
      <c r="C814" t="s">
        <v>536</v>
      </c>
      <c r="D814" t="s">
        <v>423</v>
      </c>
      <c r="E814">
        <v>5.5</v>
      </c>
      <c r="F814">
        <v>8</v>
      </c>
      <c r="G814" t="s">
        <v>360</v>
      </c>
      <c r="H814" t="s">
        <v>17</v>
      </c>
      <c r="I814">
        <v>15.5</v>
      </c>
      <c r="J814">
        <v>11</v>
      </c>
      <c r="K814">
        <v>13.5</v>
      </c>
      <c r="L814">
        <v>21</v>
      </c>
      <c r="M814">
        <v>310</v>
      </c>
      <c r="O814">
        <f t="shared" si="24"/>
        <v>1705</v>
      </c>
      <c r="P814">
        <f t="shared" si="25"/>
        <v>30.25</v>
      </c>
    </row>
    <row r="815" spans="1:16" x14ac:dyDescent="0.25">
      <c r="A815">
        <v>2014</v>
      </c>
      <c r="B815" t="s">
        <v>506</v>
      </c>
      <c r="C815" t="s">
        <v>538</v>
      </c>
      <c r="D815" t="s">
        <v>423</v>
      </c>
      <c r="E815">
        <v>5.5</v>
      </c>
      <c r="F815">
        <v>8</v>
      </c>
      <c r="G815" t="s">
        <v>360</v>
      </c>
      <c r="H815" t="s">
        <v>17</v>
      </c>
      <c r="I815">
        <v>15.5</v>
      </c>
      <c r="J815">
        <v>11</v>
      </c>
      <c r="K815">
        <v>13.5</v>
      </c>
      <c r="L815">
        <v>21</v>
      </c>
      <c r="M815">
        <v>310</v>
      </c>
      <c r="O815">
        <f t="shared" si="24"/>
        <v>1705</v>
      </c>
      <c r="P815">
        <f t="shared" si="25"/>
        <v>30.25</v>
      </c>
    </row>
    <row r="816" spans="1:16" x14ac:dyDescent="0.25">
      <c r="A816">
        <v>2014</v>
      </c>
      <c r="B816" t="s">
        <v>691</v>
      </c>
      <c r="C816" t="s">
        <v>718</v>
      </c>
      <c r="D816" t="s">
        <v>202</v>
      </c>
      <c r="E816">
        <v>4</v>
      </c>
      <c r="F816">
        <v>6</v>
      </c>
      <c r="G816" t="s">
        <v>16</v>
      </c>
      <c r="H816" t="s">
        <v>143</v>
      </c>
      <c r="I816">
        <v>14.8</v>
      </c>
      <c r="J816">
        <v>11.8</v>
      </c>
      <c r="K816">
        <v>13.5</v>
      </c>
      <c r="L816">
        <v>21</v>
      </c>
      <c r="M816">
        <v>310</v>
      </c>
      <c r="O816">
        <f t="shared" si="24"/>
        <v>1240</v>
      </c>
      <c r="P816">
        <f t="shared" si="25"/>
        <v>16</v>
      </c>
    </row>
    <row r="817" spans="1:16" x14ac:dyDescent="0.25">
      <c r="A817">
        <v>2014</v>
      </c>
      <c r="B817" t="s">
        <v>618</v>
      </c>
      <c r="C817" t="s">
        <v>634</v>
      </c>
      <c r="D817" t="s">
        <v>64</v>
      </c>
      <c r="E817">
        <v>3.6</v>
      </c>
      <c r="F817">
        <v>6</v>
      </c>
      <c r="G817" t="s">
        <v>18</v>
      </c>
      <c r="H817" t="s">
        <v>17</v>
      </c>
      <c r="I817">
        <v>15.8</v>
      </c>
      <c r="J817">
        <v>10.9</v>
      </c>
      <c r="K817">
        <v>13.6</v>
      </c>
      <c r="L817">
        <v>21</v>
      </c>
      <c r="M817">
        <v>313</v>
      </c>
      <c r="O817">
        <f t="shared" si="24"/>
        <v>1126.8</v>
      </c>
      <c r="P817">
        <f t="shared" si="25"/>
        <v>12.96</v>
      </c>
    </row>
    <row r="818" spans="1:16" x14ac:dyDescent="0.25">
      <c r="A818">
        <v>2014</v>
      </c>
      <c r="B818" t="s">
        <v>650</v>
      </c>
      <c r="C818" t="s">
        <v>651</v>
      </c>
      <c r="D818" t="s">
        <v>202</v>
      </c>
      <c r="E818">
        <v>5.7</v>
      </c>
      <c r="F818">
        <v>8</v>
      </c>
      <c r="G818" t="s">
        <v>53</v>
      </c>
      <c r="H818" t="s">
        <v>143</v>
      </c>
      <c r="I818">
        <v>15.8</v>
      </c>
      <c r="J818">
        <v>10.9</v>
      </c>
      <c r="K818">
        <v>13.6</v>
      </c>
      <c r="L818">
        <v>21</v>
      </c>
      <c r="M818">
        <v>313</v>
      </c>
      <c r="O818">
        <f t="shared" si="24"/>
        <v>1784.1000000000001</v>
      </c>
      <c r="P818">
        <f t="shared" si="25"/>
        <v>32.49</v>
      </c>
    </row>
    <row r="819" spans="1:16" x14ac:dyDescent="0.25">
      <c r="A819">
        <v>2014</v>
      </c>
      <c r="B819" t="s">
        <v>376</v>
      </c>
      <c r="C819" t="s">
        <v>392</v>
      </c>
      <c r="D819" t="s">
        <v>32</v>
      </c>
      <c r="E819">
        <v>5</v>
      </c>
      <c r="F819">
        <v>8</v>
      </c>
      <c r="G819" t="s">
        <v>23</v>
      </c>
      <c r="H819" t="s">
        <v>17</v>
      </c>
      <c r="I819">
        <v>15.9</v>
      </c>
      <c r="J819">
        <v>10.9</v>
      </c>
      <c r="K819">
        <v>13.7</v>
      </c>
      <c r="L819">
        <v>21</v>
      </c>
      <c r="M819">
        <v>315</v>
      </c>
      <c r="O819">
        <f t="shared" si="24"/>
        <v>1575</v>
      </c>
      <c r="P819">
        <f t="shared" si="25"/>
        <v>25</v>
      </c>
    </row>
    <row r="820" spans="1:16" x14ac:dyDescent="0.25">
      <c r="A820">
        <v>2014</v>
      </c>
      <c r="B820" t="s">
        <v>376</v>
      </c>
      <c r="C820" t="s">
        <v>394</v>
      </c>
      <c r="D820" t="s">
        <v>32</v>
      </c>
      <c r="E820">
        <v>5</v>
      </c>
      <c r="F820">
        <v>8</v>
      </c>
      <c r="G820" t="s">
        <v>23</v>
      </c>
      <c r="H820" t="s">
        <v>17</v>
      </c>
      <c r="I820">
        <v>15.9</v>
      </c>
      <c r="J820">
        <v>10.9</v>
      </c>
      <c r="K820">
        <v>13.7</v>
      </c>
      <c r="L820">
        <v>21</v>
      </c>
      <c r="M820">
        <v>315</v>
      </c>
      <c r="O820">
        <f t="shared" si="24"/>
        <v>1575</v>
      </c>
      <c r="P820">
        <f t="shared" si="25"/>
        <v>25</v>
      </c>
    </row>
    <row r="821" spans="1:16" x14ac:dyDescent="0.25">
      <c r="A821">
        <v>2014</v>
      </c>
      <c r="B821" t="s">
        <v>593</v>
      </c>
      <c r="C821" t="s">
        <v>600</v>
      </c>
      <c r="D821" t="s">
        <v>599</v>
      </c>
      <c r="E821">
        <v>4</v>
      </c>
      <c r="F821">
        <v>6</v>
      </c>
      <c r="G821" t="s">
        <v>224</v>
      </c>
      <c r="H821" t="s">
        <v>143</v>
      </c>
      <c r="I821">
        <v>15.7</v>
      </c>
      <c r="J821">
        <v>11.2</v>
      </c>
      <c r="K821">
        <v>13.7</v>
      </c>
      <c r="L821">
        <v>21</v>
      </c>
      <c r="M821">
        <v>315</v>
      </c>
      <c r="O821">
        <f t="shared" si="24"/>
        <v>1260</v>
      </c>
      <c r="P821">
        <f t="shared" si="25"/>
        <v>16</v>
      </c>
    </row>
    <row r="822" spans="1:16" x14ac:dyDescent="0.25">
      <c r="A822">
        <v>2014</v>
      </c>
      <c r="B822" t="s">
        <v>593</v>
      </c>
      <c r="C822" t="s">
        <v>617</v>
      </c>
      <c r="D822" t="s">
        <v>22</v>
      </c>
      <c r="E822">
        <v>4</v>
      </c>
      <c r="F822">
        <v>6</v>
      </c>
      <c r="G822" t="s">
        <v>18</v>
      </c>
      <c r="H822" t="s">
        <v>143</v>
      </c>
      <c r="I822">
        <v>15.2</v>
      </c>
      <c r="J822">
        <v>11.9</v>
      </c>
      <c r="K822">
        <v>13.7</v>
      </c>
      <c r="L822">
        <v>21</v>
      </c>
      <c r="M822">
        <v>315</v>
      </c>
      <c r="O822">
        <f t="shared" si="24"/>
        <v>1260</v>
      </c>
      <c r="P822">
        <f t="shared" si="25"/>
        <v>16</v>
      </c>
    </row>
    <row r="823" spans="1:16" x14ac:dyDescent="0.25">
      <c r="A823">
        <v>2014</v>
      </c>
      <c r="B823" t="s">
        <v>618</v>
      </c>
      <c r="C823" t="s">
        <v>639</v>
      </c>
      <c r="D823" t="s">
        <v>64</v>
      </c>
      <c r="E823">
        <v>4.8</v>
      </c>
      <c r="F823">
        <v>8</v>
      </c>
      <c r="G823" t="s">
        <v>53</v>
      </c>
      <c r="H823" t="s">
        <v>17</v>
      </c>
      <c r="I823">
        <v>15.9</v>
      </c>
      <c r="J823">
        <v>10.9</v>
      </c>
      <c r="K823">
        <v>13.7</v>
      </c>
      <c r="L823">
        <v>21</v>
      </c>
      <c r="M823">
        <v>315</v>
      </c>
      <c r="O823">
        <f t="shared" si="24"/>
        <v>1512</v>
      </c>
      <c r="P823">
        <f t="shared" si="25"/>
        <v>23.04</v>
      </c>
    </row>
    <row r="824" spans="1:16" x14ac:dyDescent="0.25">
      <c r="A824">
        <v>2014</v>
      </c>
      <c r="B824" t="s">
        <v>90</v>
      </c>
      <c r="C824" t="s">
        <v>126</v>
      </c>
      <c r="D824" t="s">
        <v>26</v>
      </c>
      <c r="E824">
        <v>4.4000000000000004</v>
      </c>
      <c r="F824">
        <v>8</v>
      </c>
      <c r="G824" t="s">
        <v>18</v>
      </c>
      <c r="H824" t="s">
        <v>17</v>
      </c>
      <c r="I824">
        <v>16.2</v>
      </c>
      <c r="J824">
        <v>10.9</v>
      </c>
      <c r="K824">
        <v>13.8</v>
      </c>
      <c r="L824">
        <v>20</v>
      </c>
      <c r="M824">
        <v>317</v>
      </c>
      <c r="O824">
        <f t="shared" si="24"/>
        <v>1394.8000000000002</v>
      </c>
      <c r="P824">
        <f t="shared" si="25"/>
        <v>19.360000000000003</v>
      </c>
    </row>
    <row r="825" spans="1:16" x14ac:dyDescent="0.25">
      <c r="A825">
        <v>2014</v>
      </c>
      <c r="B825" t="s">
        <v>90</v>
      </c>
      <c r="C825" t="s">
        <v>18</v>
      </c>
      <c r="D825" t="s">
        <v>15</v>
      </c>
      <c r="E825">
        <v>4.4000000000000004</v>
      </c>
      <c r="F825">
        <v>8</v>
      </c>
      <c r="G825" t="s">
        <v>18</v>
      </c>
      <c r="H825" t="s">
        <v>17</v>
      </c>
      <c r="I825">
        <v>16.2</v>
      </c>
      <c r="J825">
        <v>10.9</v>
      </c>
      <c r="K825">
        <v>13.8</v>
      </c>
      <c r="L825">
        <v>20</v>
      </c>
      <c r="M825">
        <v>317</v>
      </c>
      <c r="O825">
        <f t="shared" si="24"/>
        <v>1394.8000000000002</v>
      </c>
      <c r="P825">
        <f t="shared" si="25"/>
        <v>19.360000000000003</v>
      </c>
    </row>
    <row r="826" spans="1:16" x14ac:dyDescent="0.25">
      <c r="A826">
        <v>2014</v>
      </c>
      <c r="B826" t="s">
        <v>90</v>
      </c>
      <c r="C826" t="s">
        <v>127</v>
      </c>
      <c r="D826" t="s">
        <v>35</v>
      </c>
      <c r="E826">
        <v>4.4000000000000004</v>
      </c>
      <c r="F826">
        <v>8</v>
      </c>
      <c r="G826" t="s">
        <v>18</v>
      </c>
      <c r="H826" t="s">
        <v>17</v>
      </c>
      <c r="I826">
        <v>16.2</v>
      </c>
      <c r="J826">
        <v>10.9</v>
      </c>
      <c r="K826">
        <v>13.8</v>
      </c>
      <c r="L826">
        <v>20</v>
      </c>
      <c r="M826">
        <v>317</v>
      </c>
      <c r="O826">
        <f t="shared" si="24"/>
        <v>1394.8000000000002</v>
      </c>
      <c r="P826">
        <f t="shared" si="25"/>
        <v>19.360000000000003</v>
      </c>
    </row>
    <row r="827" spans="1:16" x14ac:dyDescent="0.25">
      <c r="A827">
        <v>2014</v>
      </c>
      <c r="B827" t="s">
        <v>90</v>
      </c>
      <c r="C827" t="s">
        <v>128</v>
      </c>
      <c r="D827" t="s">
        <v>15</v>
      </c>
      <c r="E827">
        <v>4.4000000000000004</v>
      </c>
      <c r="F827">
        <v>8</v>
      </c>
      <c r="G827" t="s">
        <v>18</v>
      </c>
      <c r="H827" t="s">
        <v>17</v>
      </c>
      <c r="I827">
        <v>16.2</v>
      </c>
      <c r="J827">
        <v>10.9</v>
      </c>
      <c r="K827">
        <v>13.8</v>
      </c>
      <c r="L827">
        <v>20</v>
      </c>
      <c r="M827">
        <v>317</v>
      </c>
      <c r="O827">
        <f t="shared" si="24"/>
        <v>1394.8000000000002</v>
      </c>
      <c r="P827">
        <f t="shared" si="25"/>
        <v>19.360000000000003</v>
      </c>
    </row>
    <row r="828" spans="1:16" x14ac:dyDescent="0.25">
      <c r="A828">
        <v>2014</v>
      </c>
      <c r="B828" t="s">
        <v>175</v>
      </c>
      <c r="C828" t="s">
        <v>210</v>
      </c>
      <c r="D828" t="s">
        <v>64</v>
      </c>
      <c r="E828">
        <v>5.3</v>
      </c>
      <c r="F828">
        <v>8</v>
      </c>
      <c r="G828" t="s">
        <v>33</v>
      </c>
      <c r="H828" t="s">
        <v>143</v>
      </c>
      <c r="I828">
        <v>16</v>
      </c>
      <c r="J828">
        <v>11.1</v>
      </c>
      <c r="K828">
        <v>13.8</v>
      </c>
      <c r="L828">
        <v>20</v>
      </c>
      <c r="M828">
        <v>317</v>
      </c>
      <c r="O828">
        <f t="shared" si="24"/>
        <v>1680.1</v>
      </c>
      <c r="P828">
        <f t="shared" si="25"/>
        <v>28.09</v>
      </c>
    </row>
    <row r="829" spans="1:16" x14ac:dyDescent="0.25">
      <c r="A829">
        <v>2014</v>
      </c>
      <c r="B829" t="s">
        <v>175</v>
      </c>
      <c r="C829" t="s">
        <v>211</v>
      </c>
      <c r="D829" t="s">
        <v>64</v>
      </c>
      <c r="E829">
        <v>5.3</v>
      </c>
      <c r="F829">
        <v>8</v>
      </c>
      <c r="G829" t="s">
        <v>33</v>
      </c>
      <c r="H829" t="s">
        <v>143</v>
      </c>
      <c r="I829">
        <v>16</v>
      </c>
      <c r="J829">
        <v>11.1</v>
      </c>
      <c r="K829">
        <v>13.8</v>
      </c>
      <c r="L829">
        <v>20</v>
      </c>
      <c r="M829">
        <v>317</v>
      </c>
      <c r="O829">
        <f t="shared" si="24"/>
        <v>1680.1</v>
      </c>
      <c r="P829">
        <f t="shared" si="25"/>
        <v>28.09</v>
      </c>
    </row>
    <row r="830" spans="1:16" x14ac:dyDescent="0.25">
      <c r="A830">
        <v>2014</v>
      </c>
      <c r="B830" t="s">
        <v>175</v>
      </c>
      <c r="C830" t="s">
        <v>212</v>
      </c>
      <c r="D830" t="s">
        <v>64</v>
      </c>
      <c r="E830">
        <v>5.3</v>
      </c>
      <c r="F830">
        <v>8</v>
      </c>
      <c r="G830" t="s">
        <v>33</v>
      </c>
      <c r="H830" t="s">
        <v>143</v>
      </c>
      <c r="I830">
        <v>16</v>
      </c>
      <c r="J830">
        <v>11.1</v>
      </c>
      <c r="K830">
        <v>13.8</v>
      </c>
      <c r="L830">
        <v>20</v>
      </c>
      <c r="M830">
        <v>317</v>
      </c>
      <c r="O830">
        <f t="shared" si="24"/>
        <v>1680.1</v>
      </c>
      <c r="P830">
        <f t="shared" si="25"/>
        <v>28.09</v>
      </c>
    </row>
    <row r="831" spans="1:16" x14ac:dyDescent="0.25">
      <c r="A831">
        <v>2014</v>
      </c>
      <c r="B831" t="s">
        <v>175</v>
      </c>
      <c r="C831" t="s">
        <v>213</v>
      </c>
      <c r="D831" t="s">
        <v>64</v>
      </c>
      <c r="E831">
        <v>5.3</v>
      </c>
      <c r="F831">
        <v>8</v>
      </c>
      <c r="G831" t="s">
        <v>33</v>
      </c>
      <c r="H831" t="s">
        <v>143</v>
      </c>
      <c r="I831">
        <v>16</v>
      </c>
      <c r="J831">
        <v>11.1</v>
      </c>
      <c r="K831">
        <v>13.8</v>
      </c>
      <c r="L831">
        <v>20</v>
      </c>
      <c r="M831">
        <v>317</v>
      </c>
      <c r="O831">
        <f t="shared" si="24"/>
        <v>1680.1</v>
      </c>
      <c r="P831">
        <f t="shared" si="25"/>
        <v>28.09</v>
      </c>
    </row>
    <row r="832" spans="1:16" x14ac:dyDescent="0.25">
      <c r="A832">
        <v>2014</v>
      </c>
      <c r="B832" t="s">
        <v>218</v>
      </c>
      <c r="C832" t="s">
        <v>229</v>
      </c>
      <c r="D832" t="s">
        <v>56</v>
      </c>
      <c r="E832">
        <v>6.4</v>
      </c>
      <c r="F832">
        <v>8</v>
      </c>
      <c r="G832" t="s">
        <v>224</v>
      </c>
      <c r="H832" t="s">
        <v>17</v>
      </c>
      <c r="I832">
        <v>16.7</v>
      </c>
      <c r="J832">
        <v>10.3</v>
      </c>
      <c r="K832">
        <v>13.8</v>
      </c>
      <c r="L832">
        <v>20</v>
      </c>
      <c r="M832">
        <v>317</v>
      </c>
      <c r="O832">
        <f t="shared" si="24"/>
        <v>2028.8000000000002</v>
      </c>
      <c r="P832">
        <f t="shared" si="25"/>
        <v>40.960000000000008</v>
      </c>
    </row>
    <row r="833" spans="1:16" x14ac:dyDescent="0.25">
      <c r="A833">
        <v>2014</v>
      </c>
      <c r="B833" t="s">
        <v>232</v>
      </c>
      <c r="C833" t="s">
        <v>238</v>
      </c>
      <c r="D833" t="s">
        <v>26</v>
      </c>
      <c r="E833">
        <v>6.4</v>
      </c>
      <c r="F833">
        <v>8</v>
      </c>
      <c r="G833" t="s">
        <v>224</v>
      </c>
      <c r="H833" t="s">
        <v>17</v>
      </c>
      <c r="I833">
        <v>16.7</v>
      </c>
      <c r="J833">
        <v>10.3</v>
      </c>
      <c r="K833">
        <v>13.8</v>
      </c>
      <c r="L833">
        <v>20</v>
      </c>
      <c r="M833">
        <v>317</v>
      </c>
      <c r="O833">
        <f t="shared" si="24"/>
        <v>2028.8000000000002</v>
      </c>
      <c r="P833">
        <f t="shared" si="25"/>
        <v>40.960000000000008</v>
      </c>
    </row>
    <row r="834" spans="1:16" x14ac:dyDescent="0.25">
      <c r="A834">
        <v>2014</v>
      </c>
      <c r="B834" t="s">
        <v>232</v>
      </c>
      <c r="C834" t="s">
        <v>245</v>
      </c>
      <c r="D834" t="s">
        <v>56</v>
      </c>
      <c r="E834">
        <v>6.4</v>
      </c>
      <c r="F834">
        <v>8</v>
      </c>
      <c r="G834" t="s">
        <v>224</v>
      </c>
      <c r="H834" t="s">
        <v>17</v>
      </c>
      <c r="I834">
        <v>16.7</v>
      </c>
      <c r="J834">
        <v>10.3</v>
      </c>
      <c r="K834">
        <v>13.8</v>
      </c>
      <c r="L834">
        <v>20</v>
      </c>
      <c r="M834">
        <v>317</v>
      </c>
      <c r="O834">
        <f t="shared" si="24"/>
        <v>2028.8000000000002</v>
      </c>
      <c r="P834">
        <f t="shared" si="25"/>
        <v>40.960000000000008</v>
      </c>
    </row>
    <row r="835" spans="1:16" x14ac:dyDescent="0.25">
      <c r="A835">
        <v>2014</v>
      </c>
      <c r="B835" t="s">
        <v>265</v>
      </c>
      <c r="C835" t="s">
        <v>281</v>
      </c>
      <c r="D835" t="s">
        <v>202</v>
      </c>
      <c r="E835">
        <v>3.5</v>
      </c>
      <c r="F835">
        <v>6</v>
      </c>
      <c r="G835" t="s">
        <v>33</v>
      </c>
      <c r="H835" t="s">
        <v>143</v>
      </c>
      <c r="I835">
        <v>15.9</v>
      </c>
      <c r="J835">
        <v>11.3</v>
      </c>
      <c r="K835">
        <v>13.8</v>
      </c>
      <c r="L835">
        <v>20</v>
      </c>
      <c r="M835">
        <v>317</v>
      </c>
      <c r="O835">
        <f t="shared" ref="O835:O898" si="26">M835*E835</f>
        <v>1109.5</v>
      </c>
      <c r="P835">
        <f t="shared" ref="P835:P898" si="27">E835*E835</f>
        <v>12.25</v>
      </c>
    </row>
    <row r="836" spans="1:16" x14ac:dyDescent="0.25">
      <c r="A836">
        <v>2014</v>
      </c>
      <c r="B836" t="s">
        <v>308</v>
      </c>
      <c r="C836" t="s">
        <v>323</v>
      </c>
      <c r="D836" t="s">
        <v>64</v>
      </c>
      <c r="E836">
        <v>5.3</v>
      </c>
      <c r="F836">
        <v>8</v>
      </c>
      <c r="G836" t="s">
        <v>33</v>
      </c>
      <c r="H836" t="s">
        <v>143</v>
      </c>
      <c r="I836">
        <v>16</v>
      </c>
      <c r="J836">
        <v>11.1</v>
      </c>
      <c r="K836">
        <v>13.8</v>
      </c>
      <c r="L836">
        <v>20</v>
      </c>
      <c r="M836">
        <v>317</v>
      </c>
      <c r="O836">
        <f t="shared" si="26"/>
        <v>1680.1</v>
      </c>
      <c r="P836">
        <f t="shared" si="27"/>
        <v>28.09</v>
      </c>
    </row>
    <row r="837" spans="1:16" x14ac:dyDescent="0.25">
      <c r="A837">
        <v>2014</v>
      </c>
      <c r="B837" t="s">
        <v>308</v>
      </c>
      <c r="C837" t="s">
        <v>324</v>
      </c>
      <c r="D837" t="s">
        <v>64</v>
      </c>
      <c r="E837">
        <v>5.3</v>
      </c>
      <c r="F837">
        <v>8</v>
      </c>
      <c r="G837" t="s">
        <v>33</v>
      </c>
      <c r="H837" t="s">
        <v>143</v>
      </c>
      <c r="I837">
        <v>16</v>
      </c>
      <c r="J837">
        <v>11.1</v>
      </c>
      <c r="K837">
        <v>13.8</v>
      </c>
      <c r="L837">
        <v>20</v>
      </c>
      <c r="M837">
        <v>317</v>
      </c>
      <c r="O837">
        <f t="shared" si="26"/>
        <v>1680.1</v>
      </c>
      <c r="P837">
        <f t="shared" si="27"/>
        <v>28.09</v>
      </c>
    </row>
    <row r="838" spans="1:16" x14ac:dyDescent="0.25">
      <c r="A838">
        <v>2014</v>
      </c>
      <c r="B838" t="s">
        <v>308</v>
      </c>
      <c r="C838" t="s">
        <v>327</v>
      </c>
      <c r="D838" t="s">
        <v>64</v>
      </c>
      <c r="E838">
        <v>5.3</v>
      </c>
      <c r="F838">
        <v>8</v>
      </c>
      <c r="G838" t="s">
        <v>33</v>
      </c>
      <c r="H838" t="s">
        <v>143</v>
      </c>
      <c r="I838">
        <v>16</v>
      </c>
      <c r="J838">
        <v>11.1</v>
      </c>
      <c r="K838">
        <v>13.8</v>
      </c>
      <c r="L838">
        <v>20</v>
      </c>
      <c r="M838">
        <v>317</v>
      </c>
      <c r="O838">
        <f t="shared" si="26"/>
        <v>1680.1</v>
      </c>
      <c r="P838">
        <f t="shared" si="27"/>
        <v>28.09</v>
      </c>
    </row>
    <row r="839" spans="1:16" x14ac:dyDescent="0.25">
      <c r="A839">
        <v>2014</v>
      </c>
      <c r="B839" t="s">
        <v>308</v>
      </c>
      <c r="C839" t="s">
        <v>328</v>
      </c>
      <c r="D839" t="s">
        <v>64</v>
      </c>
      <c r="E839">
        <v>5.3</v>
      </c>
      <c r="F839">
        <v>8</v>
      </c>
      <c r="G839" t="s">
        <v>33</v>
      </c>
      <c r="H839" t="s">
        <v>143</v>
      </c>
      <c r="I839">
        <v>16</v>
      </c>
      <c r="J839">
        <v>11.1</v>
      </c>
      <c r="K839">
        <v>13.8</v>
      </c>
      <c r="L839">
        <v>20</v>
      </c>
      <c r="M839">
        <v>317</v>
      </c>
      <c r="O839">
        <f t="shared" si="26"/>
        <v>1680.1</v>
      </c>
      <c r="P839">
        <f t="shared" si="27"/>
        <v>28.09</v>
      </c>
    </row>
    <row r="840" spans="1:16" x14ac:dyDescent="0.25">
      <c r="A840">
        <v>2014</v>
      </c>
      <c r="B840" t="s">
        <v>83</v>
      </c>
      <c r="C840" t="s">
        <v>85</v>
      </c>
      <c r="D840" t="s">
        <v>35</v>
      </c>
      <c r="E840">
        <v>4</v>
      </c>
      <c r="F840">
        <v>8</v>
      </c>
      <c r="G840" t="s">
        <v>45</v>
      </c>
      <c r="H840" t="s">
        <v>17</v>
      </c>
      <c r="I840">
        <v>16.8</v>
      </c>
      <c r="J840">
        <v>10.3</v>
      </c>
      <c r="K840">
        <v>13.9</v>
      </c>
      <c r="L840">
        <v>20</v>
      </c>
      <c r="M840">
        <v>320</v>
      </c>
      <c r="O840">
        <f t="shared" si="26"/>
        <v>1280</v>
      </c>
      <c r="P840">
        <f t="shared" si="27"/>
        <v>16</v>
      </c>
    </row>
    <row r="841" spans="1:16" x14ac:dyDescent="0.25">
      <c r="A841">
        <v>2014</v>
      </c>
      <c r="B841" t="s">
        <v>90</v>
      </c>
      <c r="C841" t="s">
        <v>134</v>
      </c>
      <c r="D841" t="s">
        <v>64</v>
      </c>
      <c r="E841">
        <v>4.4000000000000004</v>
      </c>
      <c r="F841">
        <v>8</v>
      </c>
      <c r="G841" t="s">
        <v>53</v>
      </c>
      <c r="H841" t="s">
        <v>17</v>
      </c>
      <c r="I841">
        <v>16.3</v>
      </c>
      <c r="J841">
        <v>10.9</v>
      </c>
      <c r="K841">
        <v>13.9</v>
      </c>
      <c r="L841">
        <v>20</v>
      </c>
      <c r="M841">
        <v>320</v>
      </c>
      <c r="O841">
        <f t="shared" si="26"/>
        <v>1408</v>
      </c>
      <c r="P841">
        <f t="shared" si="27"/>
        <v>19.360000000000003</v>
      </c>
    </row>
    <row r="842" spans="1:16" x14ac:dyDescent="0.25">
      <c r="A842">
        <v>2014</v>
      </c>
      <c r="B842" t="s">
        <v>218</v>
      </c>
      <c r="C842" t="s">
        <v>228</v>
      </c>
      <c r="D842" t="s">
        <v>56</v>
      </c>
      <c r="E842">
        <v>3.6</v>
      </c>
      <c r="F842">
        <v>6</v>
      </c>
      <c r="G842" t="s">
        <v>53</v>
      </c>
      <c r="H842" t="s">
        <v>148</v>
      </c>
      <c r="I842">
        <v>16.8</v>
      </c>
      <c r="J842">
        <v>10.3</v>
      </c>
      <c r="K842">
        <v>13.9</v>
      </c>
      <c r="L842">
        <v>20</v>
      </c>
      <c r="M842">
        <v>222</v>
      </c>
      <c r="O842">
        <f t="shared" si="26"/>
        <v>799.2</v>
      </c>
      <c r="P842">
        <f t="shared" si="27"/>
        <v>12.96</v>
      </c>
    </row>
    <row r="843" spans="1:16" x14ac:dyDescent="0.25">
      <c r="A843">
        <v>2014</v>
      </c>
      <c r="B843" t="s">
        <v>232</v>
      </c>
      <c r="C843" t="s">
        <v>237</v>
      </c>
      <c r="D843" t="s">
        <v>26</v>
      </c>
      <c r="E843">
        <v>6.4</v>
      </c>
      <c r="F843">
        <v>8</v>
      </c>
      <c r="G843" t="s">
        <v>18</v>
      </c>
      <c r="H843" t="s">
        <v>17</v>
      </c>
      <c r="I843">
        <v>16.8</v>
      </c>
      <c r="J843">
        <v>10.4</v>
      </c>
      <c r="K843">
        <v>13.9</v>
      </c>
      <c r="L843">
        <v>20</v>
      </c>
      <c r="M843">
        <v>320</v>
      </c>
      <c r="O843">
        <f t="shared" si="26"/>
        <v>2048</v>
      </c>
      <c r="P843">
        <f t="shared" si="27"/>
        <v>40.960000000000008</v>
      </c>
    </row>
    <row r="844" spans="1:16" x14ac:dyDescent="0.25">
      <c r="A844">
        <v>2014</v>
      </c>
      <c r="B844" t="s">
        <v>232</v>
      </c>
      <c r="C844" t="s">
        <v>244</v>
      </c>
      <c r="D844" t="s">
        <v>56</v>
      </c>
      <c r="E844">
        <v>3.6</v>
      </c>
      <c r="F844">
        <v>6</v>
      </c>
      <c r="G844" t="s">
        <v>53</v>
      </c>
      <c r="H844" t="s">
        <v>148</v>
      </c>
      <c r="I844">
        <v>16.8</v>
      </c>
      <c r="J844">
        <v>10.3</v>
      </c>
      <c r="K844">
        <v>13.9</v>
      </c>
      <c r="L844">
        <v>20</v>
      </c>
      <c r="M844">
        <v>222</v>
      </c>
      <c r="O844">
        <f t="shared" si="26"/>
        <v>799.2</v>
      </c>
      <c r="P844">
        <f t="shared" si="27"/>
        <v>12.96</v>
      </c>
    </row>
    <row r="845" spans="1:16" x14ac:dyDescent="0.25">
      <c r="A845">
        <v>2014</v>
      </c>
      <c r="B845" t="s">
        <v>450</v>
      </c>
      <c r="C845" t="s">
        <v>458</v>
      </c>
      <c r="D845" t="s">
        <v>64</v>
      </c>
      <c r="E845">
        <v>4.5999999999999996</v>
      </c>
      <c r="F845">
        <v>8</v>
      </c>
      <c r="G845" t="s">
        <v>23</v>
      </c>
      <c r="H845" t="s">
        <v>17</v>
      </c>
      <c r="I845">
        <v>15.7</v>
      </c>
      <c r="J845">
        <v>11.8</v>
      </c>
      <c r="K845">
        <v>13.9</v>
      </c>
      <c r="L845">
        <v>20</v>
      </c>
      <c r="M845">
        <v>320</v>
      </c>
      <c r="O845">
        <f t="shared" si="26"/>
        <v>1472</v>
      </c>
      <c r="P845">
        <f t="shared" si="27"/>
        <v>21.159999999999997</v>
      </c>
    </row>
    <row r="846" spans="1:16" x14ac:dyDescent="0.25">
      <c r="A846">
        <v>2014</v>
      </c>
      <c r="B846" t="s">
        <v>618</v>
      </c>
      <c r="C846" t="s">
        <v>636</v>
      </c>
      <c r="D846" t="s">
        <v>64</v>
      </c>
      <c r="E846">
        <v>4.8</v>
      </c>
      <c r="F846">
        <v>8</v>
      </c>
      <c r="G846" t="s">
        <v>53</v>
      </c>
      <c r="H846" t="s">
        <v>17</v>
      </c>
      <c r="I846">
        <v>15.9</v>
      </c>
      <c r="J846">
        <v>11.4</v>
      </c>
      <c r="K846">
        <v>13.9</v>
      </c>
      <c r="L846">
        <v>20</v>
      </c>
      <c r="M846">
        <v>320</v>
      </c>
      <c r="O846">
        <f t="shared" si="26"/>
        <v>1536</v>
      </c>
      <c r="P846">
        <f t="shared" si="27"/>
        <v>23.04</v>
      </c>
    </row>
    <row r="847" spans="1:16" x14ac:dyDescent="0.25">
      <c r="A847">
        <v>2014</v>
      </c>
      <c r="B847" t="s">
        <v>691</v>
      </c>
      <c r="C847" t="s">
        <v>702</v>
      </c>
      <c r="D847" t="s">
        <v>22</v>
      </c>
      <c r="E847">
        <v>4</v>
      </c>
      <c r="F847">
        <v>6</v>
      </c>
      <c r="G847" t="s">
        <v>18</v>
      </c>
      <c r="H847" t="s">
        <v>143</v>
      </c>
      <c r="I847">
        <v>15.4</v>
      </c>
      <c r="J847">
        <v>12.1</v>
      </c>
      <c r="K847">
        <v>13.9</v>
      </c>
      <c r="L847">
        <v>20</v>
      </c>
      <c r="M847">
        <v>320</v>
      </c>
      <c r="O847">
        <f t="shared" si="26"/>
        <v>1280</v>
      </c>
      <c r="P847">
        <f t="shared" si="27"/>
        <v>16</v>
      </c>
    </row>
    <row r="848" spans="1:16" x14ac:dyDescent="0.25">
      <c r="A848">
        <v>2014</v>
      </c>
      <c r="B848" t="s">
        <v>83</v>
      </c>
      <c r="C848" t="s">
        <v>87</v>
      </c>
      <c r="D848" t="s">
        <v>35</v>
      </c>
      <c r="E848">
        <v>4</v>
      </c>
      <c r="F848">
        <v>8</v>
      </c>
      <c r="G848" t="s">
        <v>45</v>
      </c>
      <c r="H848" t="s">
        <v>17</v>
      </c>
      <c r="I848">
        <v>16.7</v>
      </c>
      <c r="J848">
        <v>10.6</v>
      </c>
      <c r="K848">
        <v>14</v>
      </c>
      <c r="L848">
        <v>20</v>
      </c>
      <c r="M848">
        <v>322</v>
      </c>
      <c r="O848">
        <f t="shared" si="26"/>
        <v>1288</v>
      </c>
      <c r="P848">
        <f t="shared" si="27"/>
        <v>16</v>
      </c>
    </row>
    <row r="849" spans="1:16" x14ac:dyDescent="0.25">
      <c r="A849">
        <v>2014</v>
      </c>
      <c r="B849" t="s">
        <v>506</v>
      </c>
      <c r="C849" t="s">
        <v>510</v>
      </c>
      <c r="D849" t="s">
        <v>15</v>
      </c>
      <c r="E849">
        <v>3.5</v>
      </c>
      <c r="F849">
        <v>6</v>
      </c>
      <c r="G849" t="s">
        <v>360</v>
      </c>
      <c r="H849" t="s">
        <v>148</v>
      </c>
      <c r="I849">
        <v>16.399999999999999</v>
      </c>
      <c r="J849">
        <v>11.1</v>
      </c>
      <c r="K849">
        <v>14</v>
      </c>
      <c r="L849">
        <v>20</v>
      </c>
      <c r="M849">
        <v>224</v>
      </c>
      <c r="O849">
        <f t="shared" si="26"/>
        <v>784</v>
      </c>
      <c r="P849">
        <f t="shared" si="27"/>
        <v>12.25</v>
      </c>
    </row>
    <row r="850" spans="1:16" x14ac:dyDescent="0.25">
      <c r="A850">
        <v>2014</v>
      </c>
      <c r="B850" t="s">
        <v>618</v>
      </c>
      <c r="C850" t="s">
        <v>627</v>
      </c>
      <c r="D850" t="s">
        <v>37</v>
      </c>
      <c r="E850">
        <v>3.8</v>
      </c>
      <c r="F850">
        <v>6</v>
      </c>
      <c r="G850" t="s">
        <v>38</v>
      </c>
      <c r="H850" t="s">
        <v>17</v>
      </c>
      <c r="I850">
        <v>16</v>
      </c>
      <c r="J850">
        <v>11.5</v>
      </c>
      <c r="K850">
        <v>14</v>
      </c>
      <c r="L850">
        <v>20</v>
      </c>
      <c r="M850">
        <v>322</v>
      </c>
      <c r="O850">
        <f t="shared" si="26"/>
        <v>1223.5999999999999</v>
      </c>
      <c r="P850">
        <f t="shared" si="27"/>
        <v>14.44</v>
      </c>
    </row>
    <row r="851" spans="1:16" x14ac:dyDescent="0.25">
      <c r="A851">
        <v>2014</v>
      </c>
      <c r="B851" t="s">
        <v>691</v>
      </c>
      <c r="C851" t="s">
        <v>717</v>
      </c>
      <c r="D851" t="s">
        <v>599</v>
      </c>
      <c r="E851">
        <v>4</v>
      </c>
      <c r="F851">
        <v>6</v>
      </c>
      <c r="G851" t="s">
        <v>18</v>
      </c>
      <c r="H851" t="s">
        <v>143</v>
      </c>
      <c r="I851">
        <v>15.3</v>
      </c>
      <c r="J851">
        <v>12.3</v>
      </c>
      <c r="K851">
        <v>14</v>
      </c>
      <c r="L851">
        <v>20</v>
      </c>
      <c r="M851">
        <v>322</v>
      </c>
      <c r="O851">
        <f t="shared" si="26"/>
        <v>1288</v>
      </c>
      <c r="P851">
        <f t="shared" si="27"/>
        <v>16</v>
      </c>
    </row>
    <row r="852" spans="1:16" x14ac:dyDescent="0.25">
      <c r="A852">
        <v>2014</v>
      </c>
      <c r="B852" t="s">
        <v>90</v>
      </c>
      <c r="C852" t="s">
        <v>137</v>
      </c>
      <c r="D852" t="s">
        <v>64</v>
      </c>
      <c r="E852">
        <v>4.4000000000000004</v>
      </c>
      <c r="F852">
        <v>8</v>
      </c>
      <c r="G852" t="s">
        <v>53</v>
      </c>
      <c r="H852" t="s">
        <v>17</v>
      </c>
      <c r="I852">
        <v>16.399999999999999</v>
      </c>
      <c r="J852">
        <v>11.3</v>
      </c>
      <c r="K852">
        <v>14.1</v>
      </c>
      <c r="L852">
        <v>20</v>
      </c>
      <c r="M852">
        <v>324</v>
      </c>
      <c r="O852">
        <f t="shared" si="26"/>
        <v>1425.6000000000001</v>
      </c>
      <c r="P852">
        <f t="shared" si="27"/>
        <v>19.360000000000003</v>
      </c>
    </row>
    <row r="853" spans="1:16" x14ac:dyDescent="0.25">
      <c r="A853">
        <v>2014</v>
      </c>
      <c r="B853" t="s">
        <v>175</v>
      </c>
      <c r="C853" t="s">
        <v>201</v>
      </c>
      <c r="D853" t="s">
        <v>202</v>
      </c>
      <c r="E853">
        <v>6.2</v>
      </c>
      <c r="F853">
        <v>8</v>
      </c>
      <c r="G853" t="s">
        <v>33</v>
      </c>
      <c r="H853" t="s">
        <v>17</v>
      </c>
      <c r="I853">
        <v>16.3</v>
      </c>
      <c r="J853">
        <v>11.4</v>
      </c>
      <c r="K853">
        <v>14.1</v>
      </c>
      <c r="L853">
        <v>20</v>
      </c>
      <c r="M853">
        <v>324</v>
      </c>
      <c r="O853">
        <f t="shared" si="26"/>
        <v>2008.8</v>
      </c>
      <c r="P853">
        <f t="shared" si="27"/>
        <v>38.440000000000005</v>
      </c>
    </row>
    <row r="854" spans="1:16" x14ac:dyDescent="0.25">
      <c r="A854">
        <v>2014</v>
      </c>
      <c r="B854" t="s">
        <v>308</v>
      </c>
      <c r="C854" t="s">
        <v>319</v>
      </c>
      <c r="D854" t="s">
        <v>202</v>
      </c>
      <c r="E854">
        <v>6.2</v>
      </c>
      <c r="F854">
        <v>8</v>
      </c>
      <c r="G854" t="s">
        <v>33</v>
      </c>
      <c r="H854" t="s">
        <v>17</v>
      </c>
      <c r="I854">
        <v>16.3</v>
      </c>
      <c r="J854">
        <v>11.4</v>
      </c>
      <c r="K854">
        <v>14.1</v>
      </c>
      <c r="L854">
        <v>20</v>
      </c>
      <c r="M854">
        <v>324</v>
      </c>
      <c r="O854">
        <f t="shared" si="26"/>
        <v>2008.8</v>
      </c>
      <c r="P854">
        <f t="shared" si="27"/>
        <v>38.440000000000005</v>
      </c>
    </row>
    <row r="855" spans="1:16" x14ac:dyDescent="0.25">
      <c r="A855">
        <v>2014</v>
      </c>
      <c r="B855" t="s">
        <v>650</v>
      </c>
      <c r="C855" t="s">
        <v>652</v>
      </c>
      <c r="D855" t="s">
        <v>202</v>
      </c>
      <c r="E855">
        <v>5.7</v>
      </c>
      <c r="F855">
        <v>8</v>
      </c>
      <c r="G855" t="s">
        <v>53</v>
      </c>
      <c r="H855" t="s">
        <v>143</v>
      </c>
      <c r="I855">
        <v>16.3</v>
      </c>
      <c r="J855">
        <v>11.5</v>
      </c>
      <c r="K855">
        <v>14.1</v>
      </c>
      <c r="L855">
        <v>20</v>
      </c>
      <c r="M855">
        <v>324</v>
      </c>
      <c r="O855">
        <f t="shared" si="26"/>
        <v>1846.8</v>
      </c>
      <c r="P855">
        <f t="shared" si="27"/>
        <v>32.49</v>
      </c>
    </row>
    <row r="856" spans="1:16" x14ac:dyDescent="0.25">
      <c r="A856">
        <v>2014</v>
      </c>
      <c r="B856" t="s">
        <v>506</v>
      </c>
      <c r="C856" t="s">
        <v>549</v>
      </c>
      <c r="D856" t="s">
        <v>64</v>
      </c>
      <c r="E856">
        <v>4.7</v>
      </c>
      <c r="F856">
        <v>8</v>
      </c>
      <c r="G856" t="s">
        <v>360</v>
      </c>
      <c r="H856" t="s">
        <v>17</v>
      </c>
      <c r="I856">
        <v>16.2</v>
      </c>
      <c r="J856">
        <v>11.8</v>
      </c>
      <c r="K856">
        <v>14.2</v>
      </c>
      <c r="L856">
        <v>20</v>
      </c>
      <c r="M856">
        <v>327</v>
      </c>
      <c r="O856">
        <f t="shared" si="26"/>
        <v>1536.9</v>
      </c>
      <c r="P856">
        <f t="shared" si="27"/>
        <v>22.090000000000003</v>
      </c>
    </row>
    <row r="857" spans="1:16" x14ac:dyDescent="0.25">
      <c r="A857">
        <v>2014</v>
      </c>
      <c r="B857" t="s">
        <v>506</v>
      </c>
      <c r="C857" t="s">
        <v>556</v>
      </c>
      <c r="D857" t="s">
        <v>37</v>
      </c>
      <c r="E857">
        <v>6</v>
      </c>
      <c r="F857">
        <v>8</v>
      </c>
      <c r="G857" t="s">
        <v>360</v>
      </c>
      <c r="H857" t="s">
        <v>17</v>
      </c>
      <c r="I857">
        <v>16.7</v>
      </c>
      <c r="J857">
        <v>11.2</v>
      </c>
      <c r="K857">
        <v>14.2</v>
      </c>
      <c r="L857">
        <v>20</v>
      </c>
      <c r="M857">
        <v>327</v>
      </c>
      <c r="O857">
        <f t="shared" si="26"/>
        <v>1962</v>
      </c>
      <c r="P857">
        <f t="shared" si="27"/>
        <v>36</v>
      </c>
    </row>
    <row r="858" spans="1:16" x14ac:dyDescent="0.25">
      <c r="A858">
        <v>2014</v>
      </c>
      <c r="B858" t="s">
        <v>593</v>
      </c>
      <c r="C858" t="s">
        <v>617</v>
      </c>
      <c r="D858" t="s">
        <v>22</v>
      </c>
      <c r="E858">
        <v>4</v>
      </c>
      <c r="F858">
        <v>6</v>
      </c>
      <c r="G858" t="s">
        <v>224</v>
      </c>
      <c r="H858" t="s">
        <v>143</v>
      </c>
      <c r="I858">
        <v>16.100000000000001</v>
      </c>
      <c r="J858">
        <v>11.9</v>
      </c>
      <c r="K858">
        <v>14.2</v>
      </c>
      <c r="L858">
        <v>20</v>
      </c>
      <c r="M858">
        <v>327</v>
      </c>
      <c r="O858">
        <f t="shared" si="26"/>
        <v>1308</v>
      </c>
      <c r="P858">
        <f t="shared" si="27"/>
        <v>16</v>
      </c>
    </row>
    <row r="859" spans="1:16" x14ac:dyDescent="0.25">
      <c r="A859">
        <v>2014</v>
      </c>
      <c r="B859" t="s">
        <v>175</v>
      </c>
      <c r="C859" t="s">
        <v>197</v>
      </c>
      <c r="D859" t="s">
        <v>56</v>
      </c>
      <c r="E859">
        <v>3.6</v>
      </c>
      <c r="F859">
        <v>6</v>
      </c>
      <c r="G859" t="s">
        <v>23</v>
      </c>
      <c r="H859" t="s">
        <v>148</v>
      </c>
      <c r="I859">
        <v>16.7</v>
      </c>
      <c r="J859">
        <v>11.3</v>
      </c>
      <c r="K859">
        <v>14.3</v>
      </c>
      <c r="L859">
        <v>20</v>
      </c>
      <c r="M859">
        <v>229</v>
      </c>
      <c r="O859">
        <f t="shared" si="26"/>
        <v>824.4</v>
      </c>
      <c r="P859">
        <f t="shared" si="27"/>
        <v>12.96</v>
      </c>
    </row>
    <row r="860" spans="1:16" x14ac:dyDescent="0.25">
      <c r="A860">
        <v>2014</v>
      </c>
      <c r="B860" t="s">
        <v>175</v>
      </c>
      <c r="C860" t="s">
        <v>203</v>
      </c>
      <c r="D860" t="s">
        <v>202</v>
      </c>
      <c r="E860">
        <v>6.2</v>
      </c>
      <c r="F860">
        <v>8</v>
      </c>
      <c r="G860" t="s">
        <v>33</v>
      </c>
      <c r="H860" t="s">
        <v>17</v>
      </c>
      <c r="I860">
        <v>16.399999999999999</v>
      </c>
      <c r="J860">
        <v>11.7</v>
      </c>
      <c r="K860">
        <v>14.3</v>
      </c>
      <c r="L860">
        <v>20</v>
      </c>
      <c r="M860">
        <v>329</v>
      </c>
      <c r="O860">
        <f t="shared" si="26"/>
        <v>2039.8</v>
      </c>
      <c r="P860">
        <f t="shared" si="27"/>
        <v>38.440000000000005</v>
      </c>
    </row>
    <row r="861" spans="1:16" x14ac:dyDescent="0.25">
      <c r="A861">
        <v>2014</v>
      </c>
      <c r="B861" t="s">
        <v>265</v>
      </c>
      <c r="C861" t="s">
        <v>302</v>
      </c>
      <c r="D861" t="s">
        <v>56</v>
      </c>
      <c r="E861">
        <v>3.5</v>
      </c>
      <c r="F861">
        <v>6</v>
      </c>
      <c r="G861" t="s">
        <v>23</v>
      </c>
      <c r="H861" t="s">
        <v>148</v>
      </c>
      <c r="I861">
        <v>17</v>
      </c>
      <c r="J861">
        <v>11.1</v>
      </c>
      <c r="K861">
        <v>14.3</v>
      </c>
      <c r="L861">
        <v>20</v>
      </c>
      <c r="M861">
        <v>229</v>
      </c>
      <c r="O861">
        <f t="shared" si="26"/>
        <v>801.5</v>
      </c>
      <c r="P861">
        <f t="shared" si="27"/>
        <v>12.25</v>
      </c>
    </row>
    <row r="862" spans="1:16" x14ac:dyDescent="0.25">
      <c r="A862">
        <v>2014</v>
      </c>
      <c r="B862" t="s">
        <v>308</v>
      </c>
      <c r="C862" t="s">
        <v>320</v>
      </c>
      <c r="D862" t="s">
        <v>202</v>
      </c>
      <c r="E862">
        <v>6.2</v>
      </c>
      <c r="F862">
        <v>8</v>
      </c>
      <c r="G862" t="s">
        <v>33</v>
      </c>
      <c r="H862" t="s">
        <v>17</v>
      </c>
      <c r="I862">
        <v>16.399999999999999</v>
      </c>
      <c r="J862">
        <v>11.7</v>
      </c>
      <c r="K862">
        <v>14.3</v>
      </c>
      <c r="L862">
        <v>20</v>
      </c>
      <c r="M862">
        <v>329</v>
      </c>
      <c r="O862">
        <f t="shared" si="26"/>
        <v>2039.8</v>
      </c>
      <c r="P862">
        <f t="shared" si="27"/>
        <v>38.440000000000005</v>
      </c>
    </row>
    <row r="863" spans="1:16" x14ac:dyDescent="0.25">
      <c r="A863">
        <v>2014</v>
      </c>
      <c r="B863" t="s">
        <v>691</v>
      </c>
      <c r="C863" t="s">
        <v>718</v>
      </c>
      <c r="D863" t="s">
        <v>202</v>
      </c>
      <c r="E863">
        <v>4.5999999999999996</v>
      </c>
      <c r="F863">
        <v>8</v>
      </c>
      <c r="G863" t="s">
        <v>23</v>
      </c>
      <c r="H863" t="s">
        <v>143</v>
      </c>
      <c r="I863">
        <v>15.9</v>
      </c>
      <c r="J863">
        <v>12.3</v>
      </c>
      <c r="K863">
        <v>14.3</v>
      </c>
      <c r="L863">
        <v>20</v>
      </c>
      <c r="M863">
        <v>329</v>
      </c>
      <c r="O863">
        <f t="shared" si="26"/>
        <v>1513.3999999999999</v>
      </c>
      <c r="P863">
        <f t="shared" si="27"/>
        <v>21.159999999999997</v>
      </c>
    </row>
    <row r="864" spans="1:16" x14ac:dyDescent="0.25">
      <c r="A864">
        <v>2014</v>
      </c>
      <c r="B864" t="s">
        <v>218</v>
      </c>
      <c r="C864" t="s">
        <v>220</v>
      </c>
      <c r="D864" t="s">
        <v>15</v>
      </c>
      <c r="E864">
        <v>3.6</v>
      </c>
      <c r="F864">
        <v>6</v>
      </c>
      <c r="G864" t="s">
        <v>33</v>
      </c>
      <c r="H864" t="s">
        <v>148</v>
      </c>
      <c r="I864">
        <v>17</v>
      </c>
      <c r="J864">
        <v>11.2</v>
      </c>
      <c r="K864">
        <v>14.4</v>
      </c>
      <c r="L864">
        <v>20</v>
      </c>
      <c r="M864">
        <v>230</v>
      </c>
      <c r="O864">
        <f t="shared" si="26"/>
        <v>828</v>
      </c>
      <c r="P864">
        <f t="shared" si="27"/>
        <v>12.96</v>
      </c>
    </row>
    <row r="865" spans="1:16" x14ac:dyDescent="0.25">
      <c r="A865">
        <v>2014</v>
      </c>
      <c r="B865" t="s">
        <v>218</v>
      </c>
      <c r="C865" t="s">
        <v>222</v>
      </c>
      <c r="D865" t="s">
        <v>26</v>
      </c>
      <c r="E865">
        <v>3.6</v>
      </c>
      <c r="F865">
        <v>6</v>
      </c>
      <c r="G865" t="s">
        <v>33</v>
      </c>
      <c r="H865" t="s">
        <v>148</v>
      </c>
      <c r="I865">
        <v>17</v>
      </c>
      <c r="J865">
        <v>11.2</v>
      </c>
      <c r="K865">
        <v>14.4</v>
      </c>
      <c r="L865">
        <v>20</v>
      </c>
      <c r="M865">
        <v>230</v>
      </c>
      <c r="O865">
        <f t="shared" si="26"/>
        <v>828</v>
      </c>
      <c r="P865">
        <f t="shared" si="27"/>
        <v>12.96</v>
      </c>
    </row>
    <row r="866" spans="1:16" x14ac:dyDescent="0.25">
      <c r="A866">
        <v>2014</v>
      </c>
      <c r="B866" t="s">
        <v>232</v>
      </c>
      <c r="C866" t="s">
        <v>234</v>
      </c>
      <c r="D866" t="s">
        <v>26</v>
      </c>
      <c r="E866">
        <v>3.6</v>
      </c>
      <c r="F866">
        <v>6</v>
      </c>
      <c r="G866" t="s">
        <v>33</v>
      </c>
      <c r="H866" t="s">
        <v>148</v>
      </c>
      <c r="I866">
        <v>17</v>
      </c>
      <c r="J866">
        <v>11.2</v>
      </c>
      <c r="K866">
        <v>14.4</v>
      </c>
      <c r="L866">
        <v>20</v>
      </c>
      <c r="M866">
        <v>230</v>
      </c>
      <c r="O866">
        <f t="shared" si="26"/>
        <v>828</v>
      </c>
      <c r="P866">
        <f t="shared" si="27"/>
        <v>12.96</v>
      </c>
    </row>
    <row r="867" spans="1:16" x14ac:dyDescent="0.25">
      <c r="A867">
        <v>2014</v>
      </c>
      <c r="B867" t="s">
        <v>232</v>
      </c>
      <c r="C867" t="s">
        <v>251</v>
      </c>
      <c r="D867" t="s">
        <v>64</v>
      </c>
      <c r="E867">
        <v>5.7</v>
      </c>
      <c r="F867">
        <v>8</v>
      </c>
      <c r="G867" t="s">
        <v>53</v>
      </c>
      <c r="H867" t="s">
        <v>143</v>
      </c>
      <c r="I867">
        <v>17.3</v>
      </c>
      <c r="J867">
        <v>10.8</v>
      </c>
      <c r="K867">
        <v>14.4</v>
      </c>
      <c r="L867">
        <v>20</v>
      </c>
      <c r="M867">
        <v>331</v>
      </c>
      <c r="O867">
        <f t="shared" si="26"/>
        <v>1886.7</v>
      </c>
      <c r="P867">
        <f t="shared" si="27"/>
        <v>32.49</v>
      </c>
    </row>
    <row r="868" spans="1:16" x14ac:dyDescent="0.25">
      <c r="A868">
        <v>2014</v>
      </c>
      <c r="B868" t="s">
        <v>358</v>
      </c>
      <c r="C868" t="s">
        <v>374</v>
      </c>
      <c r="D868" t="s">
        <v>22</v>
      </c>
      <c r="E868">
        <v>5</v>
      </c>
      <c r="F868">
        <v>8</v>
      </c>
      <c r="G868" t="s">
        <v>360</v>
      </c>
      <c r="H868" t="s">
        <v>17</v>
      </c>
      <c r="I868">
        <v>16.600000000000001</v>
      </c>
      <c r="J868">
        <v>11.9</v>
      </c>
      <c r="K868">
        <v>14.5</v>
      </c>
      <c r="L868">
        <v>19</v>
      </c>
      <c r="M868">
        <v>334</v>
      </c>
      <c r="O868">
        <f t="shared" si="26"/>
        <v>1670</v>
      </c>
      <c r="P868">
        <f t="shared" si="27"/>
        <v>25</v>
      </c>
    </row>
    <row r="869" spans="1:16" x14ac:dyDescent="0.25">
      <c r="A869">
        <v>2014</v>
      </c>
      <c r="B869" t="s">
        <v>434</v>
      </c>
      <c r="C869" t="s">
        <v>436</v>
      </c>
      <c r="D869" t="s">
        <v>64</v>
      </c>
      <c r="E869">
        <v>3</v>
      </c>
      <c r="F869">
        <v>6</v>
      </c>
      <c r="G869" t="s">
        <v>45</v>
      </c>
      <c r="H869" t="s">
        <v>17</v>
      </c>
      <c r="I869">
        <v>16.3</v>
      </c>
      <c r="J869">
        <v>12.4</v>
      </c>
      <c r="K869">
        <v>14.5</v>
      </c>
      <c r="L869">
        <v>19</v>
      </c>
      <c r="M869">
        <v>334</v>
      </c>
      <c r="O869">
        <f t="shared" si="26"/>
        <v>1002</v>
      </c>
      <c r="P869">
        <f t="shared" si="27"/>
        <v>9</v>
      </c>
    </row>
    <row r="870" spans="1:16" x14ac:dyDescent="0.25">
      <c r="A870">
        <v>2014</v>
      </c>
      <c r="B870" t="s">
        <v>483</v>
      </c>
      <c r="C870" t="s">
        <v>488</v>
      </c>
      <c r="D870" t="s">
        <v>56</v>
      </c>
      <c r="E870">
        <v>3.8</v>
      </c>
      <c r="F870">
        <v>8</v>
      </c>
      <c r="G870" t="s">
        <v>45</v>
      </c>
      <c r="H870" t="s">
        <v>17</v>
      </c>
      <c r="I870">
        <v>17.600000000000001</v>
      </c>
      <c r="J870">
        <v>10.7</v>
      </c>
      <c r="K870">
        <v>14.5</v>
      </c>
      <c r="L870">
        <v>19</v>
      </c>
      <c r="M870">
        <v>334</v>
      </c>
      <c r="O870">
        <f t="shared" si="26"/>
        <v>1269.2</v>
      </c>
      <c r="P870">
        <f t="shared" si="27"/>
        <v>14.44</v>
      </c>
    </row>
    <row r="871" spans="1:16" x14ac:dyDescent="0.25">
      <c r="A871">
        <v>2014</v>
      </c>
      <c r="B871" t="s">
        <v>41</v>
      </c>
      <c r="C871" t="s">
        <v>66</v>
      </c>
      <c r="D871" t="s">
        <v>37</v>
      </c>
      <c r="E871">
        <v>4.2</v>
      </c>
      <c r="F871">
        <v>8</v>
      </c>
      <c r="G871" t="s">
        <v>67</v>
      </c>
      <c r="H871" t="s">
        <v>17</v>
      </c>
      <c r="I871">
        <v>17.600000000000001</v>
      </c>
      <c r="J871">
        <v>11</v>
      </c>
      <c r="K871">
        <v>14.6</v>
      </c>
      <c r="L871">
        <v>19</v>
      </c>
      <c r="M871">
        <v>336</v>
      </c>
      <c r="O871">
        <f t="shared" si="26"/>
        <v>1411.2</v>
      </c>
      <c r="P871">
        <f t="shared" si="27"/>
        <v>17.64</v>
      </c>
    </row>
    <row r="872" spans="1:16" x14ac:dyDescent="0.25">
      <c r="A872">
        <v>2014</v>
      </c>
      <c r="B872" t="s">
        <v>41</v>
      </c>
      <c r="C872" t="s">
        <v>68</v>
      </c>
      <c r="D872" t="s">
        <v>37</v>
      </c>
      <c r="E872">
        <v>4.2</v>
      </c>
      <c r="F872">
        <v>8</v>
      </c>
      <c r="G872" t="s">
        <v>67</v>
      </c>
      <c r="H872" t="s">
        <v>17</v>
      </c>
      <c r="I872">
        <v>17.600000000000001</v>
      </c>
      <c r="J872">
        <v>11</v>
      </c>
      <c r="K872">
        <v>14.6</v>
      </c>
      <c r="L872">
        <v>19</v>
      </c>
      <c r="M872">
        <v>336</v>
      </c>
      <c r="O872">
        <f t="shared" si="26"/>
        <v>1411.2</v>
      </c>
      <c r="P872">
        <f t="shared" si="27"/>
        <v>17.64</v>
      </c>
    </row>
    <row r="873" spans="1:16" x14ac:dyDescent="0.25">
      <c r="A873">
        <v>2014</v>
      </c>
      <c r="B873" t="s">
        <v>265</v>
      </c>
      <c r="C873" t="s">
        <v>282</v>
      </c>
      <c r="D873" t="s">
        <v>202</v>
      </c>
      <c r="E873">
        <v>5</v>
      </c>
      <c r="F873">
        <v>8</v>
      </c>
      <c r="G873" t="s">
        <v>33</v>
      </c>
      <c r="H873" t="s">
        <v>143</v>
      </c>
      <c r="I873">
        <v>16.399999999999999</v>
      </c>
      <c r="J873">
        <v>12.3</v>
      </c>
      <c r="K873">
        <v>14.6</v>
      </c>
      <c r="L873">
        <v>19</v>
      </c>
      <c r="M873">
        <v>336</v>
      </c>
      <c r="O873">
        <f t="shared" si="26"/>
        <v>1680</v>
      </c>
      <c r="P873">
        <f t="shared" si="27"/>
        <v>25</v>
      </c>
    </row>
    <row r="874" spans="1:16" x14ac:dyDescent="0.25">
      <c r="A874">
        <v>2014</v>
      </c>
      <c r="B874" t="s">
        <v>265</v>
      </c>
      <c r="C874" t="s">
        <v>282</v>
      </c>
      <c r="D874" t="s">
        <v>202</v>
      </c>
      <c r="E874">
        <v>5</v>
      </c>
      <c r="F874">
        <v>8</v>
      </c>
      <c r="G874" t="s">
        <v>23</v>
      </c>
      <c r="H874" t="s">
        <v>143</v>
      </c>
      <c r="I874">
        <v>16.399999999999999</v>
      </c>
      <c r="J874">
        <v>12.3</v>
      </c>
      <c r="K874">
        <v>14.6</v>
      </c>
      <c r="L874">
        <v>19</v>
      </c>
      <c r="M874">
        <v>336</v>
      </c>
      <c r="O874">
        <f t="shared" si="26"/>
        <v>1680</v>
      </c>
      <c r="P874">
        <f t="shared" si="27"/>
        <v>25</v>
      </c>
    </row>
    <row r="875" spans="1:16" x14ac:dyDescent="0.25">
      <c r="A875">
        <v>2014</v>
      </c>
      <c r="B875" t="s">
        <v>30</v>
      </c>
      <c r="C875" t="s">
        <v>36</v>
      </c>
      <c r="D875" t="s">
        <v>37</v>
      </c>
      <c r="E875">
        <v>4.7</v>
      </c>
      <c r="F875">
        <v>8</v>
      </c>
      <c r="G875" t="s">
        <v>38</v>
      </c>
      <c r="H875" t="s">
        <v>17</v>
      </c>
      <c r="I875">
        <v>17.399999999999999</v>
      </c>
      <c r="J875">
        <v>11.3</v>
      </c>
      <c r="K875">
        <v>14.7</v>
      </c>
      <c r="L875">
        <v>19</v>
      </c>
      <c r="M875">
        <v>338</v>
      </c>
      <c r="O875">
        <f t="shared" si="26"/>
        <v>1588.6000000000001</v>
      </c>
      <c r="P875">
        <f t="shared" si="27"/>
        <v>22.090000000000003</v>
      </c>
    </row>
    <row r="876" spans="1:16" x14ac:dyDescent="0.25">
      <c r="A876">
        <v>2014</v>
      </c>
      <c r="B876" t="s">
        <v>30</v>
      </c>
      <c r="C876" t="s">
        <v>39</v>
      </c>
      <c r="D876" t="s">
        <v>37</v>
      </c>
      <c r="E876">
        <v>4.7</v>
      </c>
      <c r="F876">
        <v>8</v>
      </c>
      <c r="G876" t="s">
        <v>38</v>
      </c>
      <c r="H876" t="s">
        <v>17</v>
      </c>
      <c r="I876">
        <v>17.399999999999999</v>
      </c>
      <c r="J876">
        <v>11.3</v>
      </c>
      <c r="K876">
        <v>14.7</v>
      </c>
      <c r="L876">
        <v>19</v>
      </c>
      <c r="M876">
        <v>338</v>
      </c>
      <c r="O876">
        <f t="shared" si="26"/>
        <v>1588.6000000000001</v>
      </c>
      <c r="P876">
        <f t="shared" si="27"/>
        <v>22.090000000000003</v>
      </c>
    </row>
    <row r="877" spans="1:16" x14ac:dyDescent="0.25">
      <c r="A877">
        <v>2014</v>
      </c>
      <c r="B877" t="s">
        <v>90</v>
      </c>
      <c r="C877" t="s">
        <v>126</v>
      </c>
      <c r="D877" t="s">
        <v>26</v>
      </c>
      <c r="E877">
        <v>4.4000000000000004</v>
      </c>
      <c r="F877">
        <v>8</v>
      </c>
      <c r="G877" t="s">
        <v>38</v>
      </c>
      <c r="H877" t="s">
        <v>17</v>
      </c>
      <c r="I877">
        <v>17.3</v>
      </c>
      <c r="J877">
        <v>11.5</v>
      </c>
      <c r="K877">
        <v>14.7</v>
      </c>
      <c r="L877">
        <v>19</v>
      </c>
      <c r="M877">
        <v>338</v>
      </c>
      <c r="O877">
        <f t="shared" si="26"/>
        <v>1487.2</v>
      </c>
      <c r="P877">
        <f t="shared" si="27"/>
        <v>19.360000000000003</v>
      </c>
    </row>
    <row r="878" spans="1:16" x14ac:dyDescent="0.25">
      <c r="A878">
        <v>2014</v>
      </c>
      <c r="B878" t="s">
        <v>90</v>
      </c>
      <c r="C878" t="s">
        <v>18</v>
      </c>
      <c r="D878" t="s">
        <v>15</v>
      </c>
      <c r="E878">
        <v>4.4000000000000004</v>
      </c>
      <c r="F878">
        <v>8</v>
      </c>
      <c r="G878" t="s">
        <v>38</v>
      </c>
      <c r="H878" t="s">
        <v>17</v>
      </c>
      <c r="I878">
        <v>17.3</v>
      </c>
      <c r="J878">
        <v>11.5</v>
      </c>
      <c r="K878">
        <v>14.7</v>
      </c>
      <c r="L878">
        <v>19</v>
      </c>
      <c r="M878">
        <v>338</v>
      </c>
      <c r="O878">
        <f t="shared" si="26"/>
        <v>1487.2</v>
      </c>
      <c r="P878">
        <f t="shared" si="27"/>
        <v>19.360000000000003</v>
      </c>
    </row>
    <row r="879" spans="1:16" x14ac:dyDescent="0.25">
      <c r="A879">
        <v>2014</v>
      </c>
      <c r="B879" t="s">
        <v>90</v>
      </c>
      <c r="C879" t="s">
        <v>127</v>
      </c>
      <c r="D879" t="s">
        <v>35</v>
      </c>
      <c r="E879">
        <v>4.4000000000000004</v>
      </c>
      <c r="F879">
        <v>8</v>
      </c>
      <c r="G879" t="s">
        <v>38</v>
      </c>
      <c r="H879" t="s">
        <v>17</v>
      </c>
      <c r="I879">
        <v>17.3</v>
      </c>
      <c r="J879">
        <v>11.5</v>
      </c>
      <c r="K879">
        <v>14.7</v>
      </c>
      <c r="L879">
        <v>19</v>
      </c>
      <c r="M879">
        <v>338</v>
      </c>
      <c r="O879">
        <f t="shared" si="26"/>
        <v>1487.2</v>
      </c>
      <c r="P879">
        <f t="shared" si="27"/>
        <v>19.360000000000003</v>
      </c>
    </row>
    <row r="880" spans="1:16" x14ac:dyDescent="0.25">
      <c r="A880">
        <v>2014</v>
      </c>
      <c r="B880" t="s">
        <v>90</v>
      </c>
      <c r="C880" t="s">
        <v>128</v>
      </c>
      <c r="D880" t="s">
        <v>15</v>
      </c>
      <c r="E880">
        <v>4.4000000000000004</v>
      </c>
      <c r="F880">
        <v>8</v>
      </c>
      <c r="G880" t="s">
        <v>38</v>
      </c>
      <c r="H880" t="s">
        <v>17</v>
      </c>
      <c r="I880">
        <v>17.3</v>
      </c>
      <c r="J880">
        <v>11.5</v>
      </c>
      <c r="K880">
        <v>14.7</v>
      </c>
      <c r="L880">
        <v>19</v>
      </c>
      <c r="M880">
        <v>338</v>
      </c>
      <c r="O880">
        <f t="shared" si="26"/>
        <v>1487.2</v>
      </c>
      <c r="P880">
        <f t="shared" si="27"/>
        <v>19.360000000000003</v>
      </c>
    </row>
    <row r="881" spans="1:16" x14ac:dyDescent="0.25">
      <c r="A881">
        <v>2014</v>
      </c>
      <c r="B881" t="s">
        <v>155</v>
      </c>
      <c r="C881" t="s">
        <v>168</v>
      </c>
      <c r="D881" t="s">
        <v>64</v>
      </c>
      <c r="E881">
        <v>6.2</v>
      </c>
      <c r="F881">
        <v>8</v>
      </c>
      <c r="G881" t="s">
        <v>33</v>
      </c>
      <c r="H881" t="s">
        <v>17</v>
      </c>
      <c r="I881">
        <v>17</v>
      </c>
      <c r="J881">
        <v>11.8</v>
      </c>
      <c r="K881">
        <v>14.7</v>
      </c>
      <c r="L881">
        <v>19</v>
      </c>
      <c r="M881">
        <v>338</v>
      </c>
      <c r="O881">
        <f t="shared" si="26"/>
        <v>2095.6</v>
      </c>
      <c r="P881">
        <f t="shared" si="27"/>
        <v>38.440000000000005</v>
      </c>
    </row>
    <row r="882" spans="1:16" x14ac:dyDescent="0.25">
      <c r="A882">
        <v>2014</v>
      </c>
      <c r="B882" t="s">
        <v>308</v>
      </c>
      <c r="C882" t="s">
        <v>325</v>
      </c>
      <c r="D882" t="s">
        <v>64</v>
      </c>
      <c r="E882">
        <v>6.2</v>
      </c>
      <c r="F882">
        <v>8</v>
      </c>
      <c r="G882" t="s">
        <v>33</v>
      </c>
      <c r="H882" t="s">
        <v>17</v>
      </c>
      <c r="I882">
        <v>17</v>
      </c>
      <c r="J882">
        <v>11.8</v>
      </c>
      <c r="K882">
        <v>14.7</v>
      </c>
      <c r="L882">
        <v>19</v>
      </c>
      <c r="M882">
        <v>338</v>
      </c>
      <c r="O882">
        <f t="shared" si="26"/>
        <v>2095.6</v>
      </c>
      <c r="P882">
        <f t="shared" si="27"/>
        <v>38.440000000000005</v>
      </c>
    </row>
    <row r="883" spans="1:16" x14ac:dyDescent="0.25">
      <c r="A883">
        <v>2014</v>
      </c>
      <c r="B883" t="s">
        <v>434</v>
      </c>
      <c r="C883" t="s">
        <v>445</v>
      </c>
      <c r="D883" t="s">
        <v>64</v>
      </c>
      <c r="E883">
        <v>5</v>
      </c>
      <c r="F883">
        <v>8</v>
      </c>
      <c r="G883" t="s">
        <v>45</v>
      </c>
      <c r="H883" t="s">
        <v>17</v>
      </c>
      <c r="I883">
        <v>16.600000000000001</v>
      </c>
      <c r="J883">
        <v>12.3</v>
      </c>
      <c r="K883">
        <v>14.7</v>
      </c>
      <c r="L883">
        <v>19</v>
      </c>
      <c r="M883">
        <v>338</v>
      </c>
      <c r="O883">
        <f t="shared" si="26"/>
        <v>1690</v>
      </c>
      <c r="P883">
        <f t="shared" si="27"/>
        <v>25</v>
      </c>
    </row>
    <row r="884" spans="1:16" x14ac:dyDescent="0.25">
      <c r="A884">
        <v>2014</v>
      </c>
      <c r="B884" t="s">
        <v>155</v>
      </c>
      <c r="C884" t="s">
        <v>165</v>
      </c>
      <c r="D884" t="s">
        <v>26</v>
      </c>
      <c r="E884">
        <v>6.2</v>
      </c>
      <c r="F884">
        <v>8</v>
      </c>
      <c r="G884" t="s">
        <v>18</v>
      </c>
      <c r="H884" t="s">
        <v>17</v>
      </c>
      <c r="I884">
        <v>16.7</v>
      </c>
      <c r="J884">
        <v>12.5</v>
      </c>
      <c r="K884">
        <v>14.8</v>
      </c>
      <c r="L884">
        <v>19</v>
      </c>
      <c r="M884">
        <v>340</v>
      </c>
      <c r="O884">
        <f t="shared" si="26"/>
        <v>2108</v>
      </c>
      <c r="P884">
        <f t="shared" si="27"/>
        <v>38.440000000000005</v>
      </c>
    </row>
    <row r="885" spans="1:16" x14ac:dyDescent="0.25">
      <c r="A885">
        <v>2014</v>
      </c>
      <c r="B885" t="s">
        <v>155</v>
      </c>
      <c r="C885" t="s">
        <v>166</v>
      </c>
      <c r="D885" t="s">
        <v>26</v>
      </c>
      <c r="E885">
        <v>6.2</v>
      </c>
      <c r="F885">
        <v>8</v>
      </c>
      <c r="G885" t="s">
        <v>18</v>
      </c>
      <c r="H885" t="s">
        <v>17</v>
      </c>
      <c r="I885">
        <v>16.7</v>
      </c>
      <c r="J885">
        <v>12.5</v>
      </c>
      <c r="K885">
        <v>14.8</v>
      </c>
      <c r="L885">
        <v>19</v>
      </c>
      <c r="M885">
        <v>340</v>
      </c>
      <c r="O885">
        <f t="shared" si="26"/>
        <v>2108</v>
      </c>
      <c r="P885">
        <f t="shared" si="27"/>
        <v>38.440000000000005</v>
      </c>
    </row>
    <row r="886" spans="1:16" x14ac:dyDescent="0.25">
      <c r="A886">
        <v>2014</v>
      </c>
      <c r="B886" t="s">
        <v>155</v>
      </c>
      <c r="C886" t="s">
        <v>167</v>
      </c>
      <c r="D886" t="s">
        <v>59</v>
      </c>
      <c r="E886">
        <v>6.2</v>
      </c>
      <c r="F886">
        <v>8</v>
      </c>
      <c r="G886" t="s">
        <v>18</v>
      </c>
      <c r="H886" t="s">
        <v>17</v>
      </c>
      <c r="I886">
        <v>16.7</v>
      </c>
      <c r="J886">
        <v>12.5</v>
      </c>
      <c r="K886">
        <v>14.8</v>
      </c>
      <c r="L886">
        <v>19</v>
      </c>
      <c r="M886">
        <v>340</v>
      </c>
      <c r="O886">
        <f t="shared" si="26"/>
        <v>2108</v>
      </c>
      <c r="P886">
        <f t="shared" si="27"/>
        <v>38.440000000000005</v>
      </c>
    </row>
    <row r="887" spans="1:16" x14ac:dyDescent="0.25">
      <c r="A887">
        <v>2014</v>
      </c>
      <c r="B887" t="s">
        <v>175</v>
      </c>
      <c r="C887" t="s">
        <v>179</v>
      </c>
      <c r="D887" t="s">
        <v>15</v>
      </c>
      <c r="E887">
        <v>6.2</v>
      </c>
      <c r="F887">
        <v>8</v>
      </c>
      <c r="G887" t="s">
        <v>18</v>
      </c>
      <c r="H887" t="s">
        <v>17</v>
      </c>
      <c r="I887">
        <v>16.7</v>
      </c>
      <c r="J887">
        <v>12.5</v>
      </c>
      <c r="K887">
        <v>14.8</v>
      </c>
      <c r="L887">
        <v>19</v>
      </c>
      <c r="M887">
        <v>340</v>
      </c>
      <c r="O887">
        <f t="shared" si="26"/>
        <v>2108</v>
      </c>
      <c r="P887">
        <f t="shared" si="27"/>
        <v>38.440000000000005</v>
      </c>
    </row>
    <row r="888" spans="1:16" x14ac:dyDescent="0.25">
      <c r="A888">
        <v>2014</v>
      </c>
      <c r="B888" t="s">
        <v>218</v>
      </c>
      <c r="C888" t="s">
        <v>227</v>
      </c>
      <c r="D888" t="s">
        <v>56</v>
      </c>
      <c r="E888">
        <v>3.6</v>
      </c>
      <c r="F888">
        <v>6</v>
      </c>
      <c r="G888" t="s">
        <v>53</v>
      </c>
      <c r="H888" t="s">
        <v>148</v>
      </c>
      <c r="I888">
        <v>17.3</v>
      </c>
      <c r="J888">
        <v>11.7</v>
      </c>
      <c r="K888">
        <v>14.8</v>
      </c>
      <c r="L888">
        <v>19</v>
      </c>
      <c r="M888">
        <v>237</v>
      </c>
      <c r="O888">
        <f t="shared" si="26"/>
        <v>853.2</v>
      </c>
      <c r="P888">
        <f t="shared" si="27"/>
        <v>12.96</v>
      </c>
    </row>
    <row r="889" spans="1:16" x14ac:dyDescent="0.25">
      <c r="A889">
        <v>2014</v>
      </c>
      <c r="B889" t="s">
        <v>232</v>
      </c>
      <c r="C889" t="s">
        <v>243</v>
      </c>
      <c r="D889" t="s">
        <v>56</v>
      </c>
      <c r="E889">
        <v>3.6</v>
      </c>
      <c r="F889">
        <v>6</v>
      </c>
      <c r="G889" t="s">
        <v>53</v>
      </c>
      <c r="H889" t="s">
        <v>148</v>
      </c>
      <c r="I889">
        <v>17.3</v>
      </c>
      <c r="J889">
        <v>11.7</v>
      </c>
      <c r="K889">
        <v>14.8</v>
      </c>
      <c r="L889">
        <v>19</v>
      </c>
      <c r="M889">
        <v>237</v>
      </c>
      <c r="O889">
        <f t="shared" si="26"/>
        <v>853.2</v>
      </c>
      <c r="P889">
        <f t="shared" si="27"/>
        <v>12.96</v>
      </c>
    </row>
    <row r="890" spans="1:16" x14ac:dyDescent="0.25">
      <c r="A890">
        <v>2014</v>
      </c>
      <c r="B890" t="s">
        <v>265</v>
      </c>
      <c r="C890" t="s">
        <v>283</v>
      </c>
      <c r="D890" t="s">
        <v>202</v>
      </c>
      <c r="E890">
        <v>5</v>
      </c>
      <c r="F890">
        <v>8</v>
      </c>
      <c r="G890" t="s">
        <v>23</v>
      </c>
      <c r="H890" t="s">
        <v>143</v>
      </c>
      <c r="I890">
        <v>16.7</v>
      </c>
      <c r="J890">
        <v>12.5</v>
      </c>
      <c r="K890">
        <v>14.8</v>
      </c>
      <c r="L890">
        <v>19</v>
      </c>
      <c r="M890">
        <v>340</v>
      </c>
      <c r="O890">
        <f t="shared" si="26"/>
        <v>1700</v>
      </c>
      <c r="P890">
        <f t="shared" si="27"/>
        <v>25</v>
      </c>
    </row>
    <row r="891" spans="1:16" x14ac:dyDescent="0.25">
      <c r="A891">
        <v>2014</v>
      </c>
      <c r="B891" t="s">
        <v>396</v>
      </c>
      <c r="C891" t="s">
        <v>405</v>
      </c>
      <c r="D891" t="s">
        <v>64</v>
      </c>
      <c r="E891">
        <v>5.7</v>
      </c>
      <c r="F891">
        <v>8</v>
      </c>
      <c r="G891" t="s">
        <v>53</v>
      </c>
      <c r="H891" t="s">
        <v>143</v>
      </c>
      <c r="I891">
        <v>17.3</v>
      </c>
      <c r="J891">
        <v>11.7</v>
      </c>
      <c r="K891">
        <v>14.8</v>
      </c>
      <c r="L891">
        <v>19</v>
      </c>
      <c r="M891">
        <v>340</v>
      </c>
      <c r="O891">
        <f t="shared" si="26"/>
        <v>1938</v>
      </c>
      <c r="P891">
        <f t="shared" si="27"/>
        <v>32.49</v>
      </c>
    </row>
    <row r="892" spans="1:16" x14ac:dyDescent="0.25">
      <c r="A892">
        <v>2014</v>
      </c>
      <c r="B892" t="s">
        <v>650</v>
      </c>
      <c r="C892" t="s">
        <v>651</v>
      </c>
      <c r="D892" t="s">
        <v>202</v>
      </c>
      <c r="E892">
        <v>5.7</v>
      </c>
      <c r="F892">
        <v>8</v>
      </c>
      <c r="G892" t="s">
        <v>33</v>
      </c>
      <c r="H892" t="s">
        <v>143</v>
      </c>
      <c r="I892">
        <v>17.100000000000001</v>
      </c>
      <c r="J892">
        <v>12</v>
      </c>
      <c r="K892">
        <v>14.8</v>
      </c>
      <c r="L892">
        <v>19</v>
      </c>
      <c r="M892">
        <v>340</v>
      </c>
      <c r="O892">
        <f t="shared" si="26"/>
        <v>1938</v>
      </c>
      <c r="P892">
        <f t="shared" si="27"/>
        <v>32.49</v>
      </c>
    </row>
    <row r="893" spans="1:16" x14ac:dyDescent="0.25">
      <c r="A893">
        <v>2014</v>
      </c>
      <c r="B893" t="s">
        <v>265</v>
      </c>
      <c r="C893" t="s">
        <v>283</v>
      </c>
      <c r="D893" t="s">
        <v>202</v>
      </c>
      <c r="E893">
        <v>5</v>
      </c>
      <c r="F893">
        <v>8</v>
      </c>
      <c r="G893" t="s">
        <v>33</v>
      </c>
      <c r="H893" t="s">
        <v>143</v>
      </c>
      <c r="I893">
        <v>16.8</v>
      </c>
      <c r="J893">
        <v>12.6</v>
      </c>
      <c r="K893">
        <v>14.9</v>
      </c>
      <c r="L893">
        <v>19</v>
      </c>
      <c r="M893">
        <v>343</v>
      </c>
      <c r="O893">
        <f t="shared" si="26"/>
        <v>1715</v>
      </c>
      <c r="P893">
        <f t="shared" si="27"/>
        <v>25</v>
      </c>
    </row>
    <row r="894" spans="1:16" x14ac:dyDescent="0.25">
      <c r="A894">
        <v>2014</v>
      </c>
      <c r="B894" t="s">
        <v>358</v>
      </c>
      <c r="C894" t="s">
        <v>375</v>
      </c>
      <c r="D894" t="s">
        <v>64</v>
      </c>
      <c r="E894">
        <v>5.6</v>
      </c>
      <c r="F894">
        <v>8</v>
      </c>
      <c r="G894" t="s">
        <v>360</v>
      </c>
      <c r="H894" t="s">
        <v>17</v>
      </c>
      <c r="I894">
        <v>17.399999999999999</v>
      </c>
      <c r="J894">
        <v>12.1</v>
      </c>
      <c r="K894">
        <v>15</v>
      </c>
      <c r="L894">
        <v>19</v>
      </c>
      <c r="M894">
        <v>345</v>
      </c>
      <c r="O894">
        <f t="shared" si="26"/>
        <v>1931.9999999999998</v>
      </c>
      <c r="P894">
        <f t="shared" si="27"/>
        <v>31.359999999999996</v>
      </c>
    </row>
    <row r="895" spans="1:16" x14ac:dyDescent="0.25">
      <c r="A895">
        <v>2014</v>
      </c>
      <c r="B895" t="s">
        <v>434</v>
      </c>
      <c r="C895" t="s">
        <v>444</v>
      </c>
      <c r="D895" t="s">
        <v>64</v>
      </c>
      <c r="E895">
        <v>5</v>
      </c>
      <c r="F895">
        <v>8</v>
      </c>
      <c r="G895" t="s">
        <v>45</v>
      </c>
      <c r="H895" t="s">
        <v>17</v>
      </c>
      <c r="I895">
        <v>17.3</v>
      </c>
      <c r="J895">
        <v>12.2</v>
      </c>
      <c r="K895">
        <v>15</v>
      </c>
      <c r="L895">
        <v>19</v>
      </c>
      <c r="M895">
        <v>345</v>
      </c>
      <c r="O895">
        <f t="shared" si="26"/>
        <v>1725</v>
      </c>
      <c r="P895">
        <f t="shared" si="27"/>
        <v>25</v>
      </c>
    </row>
    <row r="896" spans="1:16" x14ac:dyDescent="0.25">
      <c r="A896">
        <v>2014</v>
      </c>
      <c r="B896" t="s">
        <v>175</v>
      </c>
      <c r="C896" t="s">
        <v>187</v>
      </c>
      <c r="D896" t="s">
        <v>188</v>
      </c>
      <c r="E896">
        <v>4.3</v>
      </c>
      <c r="F896">
        <v>6</v>
      </c>
      <c r="G896" t="s">
        <v>42</v>
      </c>
      <c r="H896" t="s">
        <v>143</v>
      </c>
      <c r="I896">
        <v>17.100000000000001</v>
      </c>
      <c r="J896">
        <v>12.7</v>
      </c>
      <c r="K896">
        <v>15.1</v>
      </c>
      <c r="L896">
        <v>19</v>
      </c>
      <c r="M896">
        <v>347</v>
      </c>
      <c r="O896">
        <f t="shared" si="26"/>
        <v>1492.1</v>
      </c>
      <c r="P896">
        <f t="shared" si="27"/>
        <v>18.489999999999998</v>
      </c>
    </row>
    <row r="897" spans="1:16" x14ac:dyDescent="0.25">
      <c r="A897">
        <v>2014</v>
      </c>
      <c r="B897" t="s">
        <v>308</v>
      </c>
      <c r="C897" t="s">
        <v>311</v>
      </c>
      <c r="D897" t="s">
        <v>188</v>
      </c>
      <c r="E897">
        <v>4.3</v>
      </c>
      <c r="F897">
        <v>6</v>
      </c>
      <c r="G897" t="s">
        <v>42</v>
      </c>
      <c r="H897" t="s">
        <v>143</v>
      </c>
      <c r="I897">
        <v>17.100000000000001</v>
      </c>
      <c r="J897">
        <v>12.7</v>
      </c>
      <c r="K897">
        <v>15.1</v>
      </c>
      <c r="L897">
        <v>19</v>
      </c>
      <c r="M897">
        <v>347</v>
      </c>
      <c r="O897">
        <f t="shared" si="26"/>
        <v>1492.1</v>
      </c>
      <c r="P897">
        <f t="shared" si="27"/>
        <v>18.489999999999998</v>
      </c>
    </row>
    <row r="898" spans="1:16" x14ac:dyDescent="0.25">
      <c r="A898">
        <v>2014</v>
      </c>
      <c r="B898" t="s">
        <v>434</v>
      </c>
      <c r="C898" t="s">
        <v>441</v>
      </c>
      <c r="D898" t="s">
        <v>64</v>
      </c>
      <c r="E898">
        <v>5</v>
      </c>
      <c r="F898">
        <v>8</v>
      </c>
      <c r="G898" t="s">
        <v>45</v>
      </c>
      <c r="H898" t="s">
        <v>17</v>
      </c>
      <c r="I898">
        <v>17.2</v>
      </c>
      <c r="J898">
        <v>12.5</v>
      </c>
      <c r="K898">
        <v>15.1</v>
      </c>
      <c r="L898">
        <v>19</v>
      </c>
      <c r="M898">
        <v>347</v>
      </c>
      <c r="O898">
        <f t="shared" si="26"/>
        <v>1735</v>
      </c>
      <c r="P898">
        <f t="shared" si="27"/>
        <v>25</v>
      </c>
    </row>
    <row r="899" spans="1:16" x14ac:dyDescent="0.25">
      <c r="A899">
        <v>2014</v>
      </c>
      <c r="B899" t="s">
        <v>434</v>
      </c>
      <c r="C899" t="s">
        <v>449</v>
      </c>
      <c r="D899" t="s">
        <v>64</v>
      </c>
      <c r="E899">
        <v>5</v>
      </c>
      <c r="F899">
        <v>8</v>
      </c>
      <c r="G899" t="s">
        <v>45</v>
      </c>
      <c r="H899" t="s">
        <v>17</v>
      </c>
      <c r="I899">
        <v>17.2</v>
      </c>
      <c r="J899">
        <v>12.5</v>
      </c>
      <c r="K899">
        <v>15.1</v>
      </c>
      <c r="L899">
        <v>19</v>
      </c>
      <c r="M899">
        <v>347</v>
      </c>
      <c r="O899">
        <f t="shared" ref="O899:O962" si="28">M899*E899</f>
        <v>1735</v>
      </c>
      <c r="P899">
        <f t="shared" ref="P899:P962" si="29">E899*E899</f>
        <v>25</v>
      </c>
    </row>
    <row r="900" spans="1:16" x14ac:dyDescent="0.25">
      <c r="A900">
        <v>2014</v>
      </c>
      <c r="B900" t="s">
        <v>483</v>
      </c>
      <c r="C900" t="s">
        <v>486</v>
      </c>
      <c r="D900" t="s">
        <v>35</v>
      </c>
      <c r="E900">
        <v>4.7</v>
      </c>
      <c r="F900">
        <v>8</v>
      </c>
      <c r="G900" t="s">
        <v>23</v>
      </c>
      <c r="H900" t="s">
        <v>17</v>
      </c>
      <c r="I900">
        <v>18.2</v>
      </c>
      <c r="J900">
        <v>11.4</v>
      </c>
      <c r="K900">
        <v>15.1</v>
      </c>
      <c r="L900">
        <v>19</v>
      </c>
      <c r="M900">
        <v>347</v>
      </c>
      <c r="O900">
        <f t="shared" si="28"/>
        <v>1630.9</v>
      </c>
      <c r="P900">
        <f t="shared" si="29"/>
        <v>22.090000000000003</v>
      </c>
    </row>
    <row r="901" spans="1:16" x14ac:dyDescent="0.25">
      <c r="A901">
        <v>2014</v>
      </c>
      <c r="B901" t="s">
        <v>506</v>
      </c>
      <c r="C901" t="s">
        <v>515</v>
      </c>
      <c r="D901" t="s">
        <v>15</v>
      </c>
      <c r="E901">
        <v>6.2</v>
      </c>
      <c r="F901">
        <v>8</v>
      </c>
      <c r="G901" t="s">
        <v>360</v>
      </c>
      <c r="H901" t="s">
        <v>17</v>
      </c>
      <c r="I901">
        <v>17.7</v>
      </c>
      <c r="J901">
        <v>11.9</v>
      </c>
      <c r="K901">
        <v>15.1</v>
      </c>
      <c r="L901">
        <v>19</v>
      </c>
      <c r="M901">
        <v>347</v>
      </c>
      <c r="O901">
        <f t="shared" si="28"/>
        <v>2151.4</v>
      </c>
      <c r="P901">
        <f t="shared" si="29"/>
        <v>38.440000000000005</v>
      </c>
    </row>
    <row r="902" spans="1:16" x14ac:dyDescent="0.25">
      <c r="A902">
        <v>2014</v>
      </c>
      <c r="B902" t="s">
        <v>691</v>
      </c>
      <c r="C902" t="s">
        <v>719</v>
      </c>
      <c r="D902" t="s">
        <v>202</v>
      </c>
      <c r="E902">
        <v>4.5999999999999996</v>
      </c>
      <c r="F902">
        <v>8</v>
      </c>
      <c r="G902" t="s">
        <v>23</v>
      </c>
      <c r="H902" t="s">
        <v>143</v>
      </c>
      <c r="I902">
        <v>16.899999999999999</v>
      </c>
      <c r="J902">
        <v>12.8</v>
      </c>
      <c r="K902">
        <v>15.1</v>
      </c>
      <c r="L902">
        <v>19</v>
      </c>
      <c r="M902">
        <v>347</v>
      </c>
      <c r="O902">
        <f t="shared" si="28"/>
        <v>1596.1999999999998</v>
      </c>
      <c r="P902">
        <f t="shared" si="29"/>
        <v>21.159999999999997</v>
      </c>
    </row>
    <row r="903" spans="1:16" x14ac:dyDescent="0.25">
      <c r="A903">
        <v>2014</v>
      </c>
      <c r="B903" t="s">
        <v>506</v>
      </c>
      <c r="C903" t="s">
        <v>542</v>
      </c>
      <c r="D903" t="s">
        <v>64</v>
      </c>
      <c r="E903">
        <v>4.7</v>
      </c>
      <c r="F903">
        <v>8</v>
      </c>
      <c r="G903" t="s">
        <v>360</v>
      </c>
      <c r="H903" t="s">
        <v>17</v>
      </c>
      <c r="I903">
        <v>17.100000000000001</v>
      </c>
      <c r="J903">
        <v>12.8</v>
      </c>
      <c r="K903">
        <v>15.2</v>
      </c>
      <c r="L903">
        <v>19</v>
      </c>
      <c r="M903">
        <v>350</v>
      </c>
      <c r="O903">
        <f t="shared" si="28"/>
        <v>1645</v>
      </c>
      <c r="P903">
        <f t="shared" si="29"/>
        <v>22.090000000000003</v>
      </c>
    </row>
    <row r="904" spans="1:16" x14ac:dyDescent="0.25">
      <c r="A904">
        <v>2014</v>
      </c>
      <c r="B904" t="s">
        <v>483</v>
      </c>
      <c r="C904" t="s">
        <v>487</v>
      </c>
      <c r="D904" t="s">
        <v>35</v>
      </c>
      <c r="E904">
        <v>4.7</v>
      </c>
      <c r="F904">
        <v>8</v>
      </c>
      <c r="G904" t="s">
        <v>23</v>
      </c>
      <c r="H904" t="s">
        <v>17</v>
      </c>
      <c r="I904">
        <v>18.2</v>
      </c>
      <c r="J904">
        <v>11.7</v>
      </c>
      <c r="K904">
        <v>15.3</v>
      </c>
      <c r="L904">
        <v>18</v>
      </c>
      <c r="M904">
        <v>352</v>
      </c>
      <c r="O904">
        <f t="shared" si="28"/>
        <v>1654.4</v>
      </c>
      <c r="P904">
        <f t="shared" si="29"/>
        <v>22.090000000000003</v>
      </c>
    </row>
    <row r="905" spans="1:16" x14ac:dyDescent="0.25">
      <c r="A905">
        <v>2014</v>
      </c>
      <c r="B905" t="s">
        <v>506</v>
      </c>
      <c r="C905" t="s">
        <v>516</v>
      </c>
      <c r="D905" t="s">
        <v>35</v>
      </c>
      <c r="E905">
        <v>6.2</v>
      </c>
      <c r="F905">
        <v>8</v>
      </c>
      <c r="G905" t="s">
        <v>360</v>
      </c>
      <c r="H905" t="s">
        <v>17</v>
      </c>
      <c r="I905">
        <v>17.899999999999999</v>
      </c>
      <c r="J905">
        <v>12.2</v>
      </c>
      <c r="K905">
        <v>15.3</v>
      </c>
      <c r="L905">
        <v>18</v>
      </c>
      <c r="M905">
        <v>352</v>
      </c>
      <c r="O905">
        <f t="shared" si="28"/>
        <v>2182.4</v>
      </c>
      <c r="P905">
        <f t="shared" si="29"/>
        <v>38.440000000000005</v>
      </c>
    </row>
    <row r="906" spans="1:16" x14ac:dyDescent="0.25">
      <c r="A906">
        <v>2014</v>
      </c>
      <c r="B906" t="s">
        <v>30</v>
      </c>
      <c r="C906" t="s">
        <v>36</v>
      </c>
      <c r="D906" t="s">
        <v>37</v>
      </c>
      <c r="E906">
        <v>4.7</v>
      </c>
      <c r="F906">
        <v>8</v>
      </c>
      <c r="G906" t="s">
        <v>18</v>
      </c>
      <c r="H906" t="s">
        <v>17</v>
      </c>
      <c r="I906">
        <v>18.100000000000001</v>
      </c>
      <c r="J906">
        <v>12.2</v>
      </c>
      <c r="K906">
        <v>15.4</v>
      </c>
      <c r="L906">
        <v>18</v>
      </c>
      <c r="M906">
        <v>354</v>
      </c>
      <c r="O906">
        <f t="shared" si="28"/>
        <v>1663.8</v>
      </c>
      <c r="P906">
        <f t="shared" si="29"/>
        <v>22.090000000000003</v>
      </c>
    </row>
    <row r="907" spans="1:16" x14ac:dyDescent="0.25">
      <c r="A907">
        <v>2014</v>
      </c>
      <c r="B907" t="s">
        <v>30</v>
      </c>
      <c r="C907" t="s">
        <v>39</v>
      </c>
      <c r="D907" t="s">
        <v>37</v>
      </c>
      <c r="E907">
        <v>4.7</v>
      </c>
      <c r="F907">
        <v>8</v>
      </c>
      <c r="G907" t="s">
        <v>18</v>
      </c>
      <c r="H907" t="s">
        <v>17</v>
      </c>
      <c r="I907">
        <v>18.100000000000001</v>
      </c>
      <c r="J907">
        <v>12.2</v>
      </c>
      <c r="K907">
        <v>15.4</v>
      </c>
      <c r="L907">
        <v>18</v>
      </c>
      <c r="M907">
        <v>354</v>
      </c>
      <c r="O907">
        <f t="shared" si="28"/>
        <v>1663.8</v>
      </c>
      <c r="P907">
        <f t="shared" si="29"/>
        <v>22.090000000000003</v>
      </c>
    </row>
    <row r="908" spans="1:16" x14ac:dyDescent="0.25">
      <c r="A908">
        <v>2014</v>
      </c>
      <c r="B908" t="s">
        <v>41</v>
      </c>
      <c r="C908" t="s">
        <v>66</v>
      </c>
      <c r="D908" t="s">
        <v>37</v>
      </c>
      <c r="E908">
        <v>5.2</v>
      </c>
      <c r="F908">
        <v>10</v>
      </c>
      <c r="G908" t="s">
        <v>67</v>
      </c>
      <c r="H908" t="s">
        <v>17</v>
      </c>
      <c r="I908">
        <v>18.8</v>
      </c>
      <c r="J908">
        <v>11.3</v>
      </c>
      <c r="K908">
        <v>15.4</v>
      </c>
      <c r="L908">
        <v>18</v>
      </c>
      <c r="M908">
        <v>354</v>
      </c>
      <c r="O908">
        <f t="shared" si="28"/>
        <v>1840.8</v>
      </c>
      <c r="P908">
        <f t="shared" si="29"/>
        <v>27.040000000000003</v>
      </c>
    </row>
    <row r="909" spans="1:16" x14ac:dyDescent="0.25">
      <c r="A909">
        <v>2014</v>
      </c>
      <c r="B909" t="s">
        <v>41</v>
      </c>
      <c r="C909" t="s">
        <v>68</v>
      </c>
      <c r="D909" t="s">
        <v>37</v>
      </c>
      <c r="E909">
        <v>5.2</v>
      </c>
      <c r="F909">
        <v>10</v>
      </c>
      <c r="G909" t="s">
        <v>67</v>
      </c>
      <c r="H909" t="s">
        <v>17</v>
      </c>
      <c r="I909">
        <v>18.8</v>
      </c>
      <c r="J909">
        <v>11.3</v>
      </c>
      <c r="K909">
        <v>15.4</v>
      </c>
      <c r="L909">
        <v>18</v>
      </c>
      <c r="M909">
        <v>354</v>
      </c>
      <c r="O909">
        <f t="shared" si="28"/>
        <v>1840.8</v>
      </c>
      <c r="P909">
        <f t="shared" si="29"/>
        <v>27.040000000000003</v>
      </c>
    </row>
    <row r="910" spans="1:16" x14ac:dyDescent="0.25">
      <c r="A910">
        <v>2014</v>
      </c>
      <c r="B910" t="s">
        <v>434</v>
      </c>
      <c r="C910" t="s">
        <v>440</v>
      </c>
      <c r="D910" t="s">
        <v>64</v>
      </c>
      <c r="E910">
        <v>5</v>
      </c>
      <c r="F910">
        <v>8</v>
      </c>
      <c r="G910" t="s">
        <v>45</v>
      </c>
      <c r="H910" t="s">
        <v>17</v>
      </c>
      <c r="I910">
        <v>18</v>
      </c>
      <c r="J910">
        <v>12.2</v>
      </c>
      <c r="K910">
        <v>15.4</v>
      </c>
      <c r="L910">
        <v>18</v>
      </c>
      <c r="M910">
        <v>354</v>
      </c>
      <c r="O910">
        <f t="shared" si="28"/>
        <v>1770</v>
      </c>
      <c r="P910">
        <f t="shared" si="29"/>
        <v>25</v>
      </c>
    </row>
    <row r="911" spans="1:16" x14ac:dyDescent="0.25">
      <c r="A911">
        <v>2014</v>
      </c>
      <c r="B911" t="s">
        <v>434</v>
      </c>
      <c r="C911" t="s">
        <v>448</v>
      </c>
      <c r="D911" t="s">
        <v>64</v>
      </c>
      <c r="E911">
        <v>5</v>
      </c>
      <c r="F911">
        <v>8</v>
      </c>
      <c r="G911" t="s">
        <v>45</v>
      </c>
      <c r="H911" t="s">
        <v>17</v>
      </c>
      <c r="I911">
        <v>18</v>
      </c>
      <c r="J911">
        <v>12.2</v>
      </c>
      <c r="K911">
        <v>15.4</v>
      </c>
      <c r="L911">
        <v>18</v>
      </c>
      <c r="M911">
        <v>354</v>
      </c>
      <c r="O911">
        <f t="shared" si="28"/>
        <v>1770</v>
      </c>
      <c r="P911">
        <f t="shared" si="29"/>
        <v>25</v>
      </c>
    </row>
    <row r="912" spans="1:16" x14ac:dyDescent="0.25">
      <c r="A912">
        <v>2014</v>
      </c>
      <c r="B912" t="s">
        <v>650</v>
      </c>
      <c r="C912" t="s">
        <v>652</v>
      </c>
      <c r="D912" t="s">
        <v>202</v>
      </c>
      <c r="E912">
        <v>5.7</v>
      </c>
      <c r="F912">
        <v>8</v>
      </c>
      <c r="G912" t="s">
        <v>33</v>
      </c>
      <c r="H912" t="s">
        <v>143</v>
      </c>
      <c r="I912">
        <v>17.600000000000001</v>
      </c>
      <c r="J912">
        <v>12.7</v>
      </c>
      <c r="K912">
        <v>15.4</v>
      </c>
      <c r="L912">
        <v>18</v>
      </c>
      <c r="M912">
        <v>354</v>
      </c>
      <c r="O912">
        <f t="shared" si="28"/>
        <v>2017.8</v>
      </c>
      <c r="P912">
        <f t="shared" si="29"/>
        <v>32.49</v>
      </c>
    </row>
    <row r="913" spans="1:16" x14ac:dyDescent="0.25">
      <c r="A913">
        <v>2014</v>
      </c>
      <c r="B913" t="s">
        <v>83</v>
      </c>
      <c r="C913" t="s">
        <v>84</v>
      </c>
      <c r="D913" t="s">
        <v>35</v>
      </c>
      <c r="E913">
        <v>6</v>
      </c>
      <c r="F913">
        <v>12</v>
      </c>
      <c r="G913" t="s">
        <v>45</v>
      </c>
      <c r="H913" t="s">
        <v>17</v>
      </c>
      <c r="I913">
        <v>18.8</v>
      </c>
      <c r="J913">
        <v>11.5</v>
      </c>
      <c r="K913">
        <v>15.5</v>
      </c>
      <c r="L913">
        <v>18</v>
      </c>
      <c r="M913">
        <v>356</v>
      </c>
      <c r="O913">
        <f t="shared" si="28"/>
        <v>2136</v>
      </c>
      <c r="P913">
        <f t="shared" si="29"/>
        <v>36</v>
      </c>
    </row>
    <row r="914" spans="1:16" x14ac:dyDescent="0.25">
      <c r="A914">
        <v>2014</v>
      </c>
      <c r="B914" t="s">
        <v>90</v>
      </c>
      <c r="C914" t="s">
        <v>120</v>
      </c>
      <c r="D914" t="s">
        <v>56</v>
      </c>
      <c r="E914">
        <v>6</v>
      </c>
      <c r="F914">
        <v>12</v>
      </c>
      <c r="G914" t="s">
        <v>53</v>
      </c>
      <c r="H914" t="s">
        <v>17</v>
      </c>
      <c r="I914">
        <v>18.7</v>
      </c>
      <c r="J914">
        <v>11.5</v>
      </c>
      <c r="K914">
        <v>15.5</v>
      </c>
      <c r="L914">
        <v>18</v>
      </c>
      <c r="M914">
        <v>356</v>
      </c>
      <c r="O914">
        <f t="shared" si="28"/>
        <v>2136</v>
      </c>
      <c r="P914">
        <f t="shared" si="29"/>
        <v>36</v>
      </c>
    </row>
    <row r="915" spans="1:16" x14ac:dyDescent="0.25">
      <c r="A915">
        <v>2014</v>
      </c>
      <c r="B915" t="s">
        <v>506</v>
      </c>
      <c r="C915" t="s">
        <v>550</v>
      </c>
      <c r="D915" t="s">
        <v>64</v>
      </c>
      <c r="E915">
        <v>5.5</v>
      </c>
      <c r="F915">
        <v>8</v>
      </c>
      <c r="G915" t="s">
        <v>360</v>
      </c>
      <c r="H915" t="s">
        <v>17</v>
      </c>
      <c r="I915">
        <v>17.2</v>
      </c>
      <c r="J915">
        <v>13.5</v>
      </c>
      <c r="K915">
        <v>15.5</v>
      </c>
      <c r="L915">
        <v>18</v>
      </c>
      <c r="M915">
        <v>356</v>
      </c>
      <c r="O915">
        <f t="shared" si="28"/>
        <v>1958</v>
      </c>
      <c r="P915">
        <f t="shared" si="29"/>
        <v>30.25</v>
      </c>
    </row>
    <row r="916" spans="1:16" x14ac:dyDescent="0.25">
      <c r="A916">
        <v>2014</v>
      </c>
      <c r="B916" t="s">
        <v>691</v>
      </c>
      <c r="C916" t="s">
        <v>718</v>
      </c>
      <c r="D916" t="s">
        <v>202</v>
      </c>
      <c r="E916">
        <v>5.7</v>
      </c>
      <c r="F916">
        <v>8</v>
      </c>
      <c r="G916" t="s">
        <v>23</v>
      </c>
      <c r="H916" t="s">
        <v>143</v>
      </c>
      <c r="I916">
        <v>17.600000000000001</v>
      </c>
      <c r="J916">
        <v>12.9</v>
      </c>
      <c r="K916">
        <v>15.5</v>
      </c>
      <c r="L916">
        <v>18</v>
      </c>
      <c r="M916">
        <v>356</v>
      </c>
      <c r="O916">
        <f t="shared" si="28"/>
        <v>2029.2</v>
      </c>
      <c r="P916">
        <f t="shared" si="29"/>
        <v>32.49</v>
      </c>
    </row>
    <row r="917" spans="1:16" x14ac:dyDescent="0.25">
      <c r="A917">
        <v>2014</v>
      </c>
      <c r="B917" t="s">
        <v>30</v>
      </c>
      <c r="C917" t="s">
        <v>31</v>
      </c>
      <c r="D917" t="s">
        <v>32</v>
      </c>
      <c r="E917">
        <v>5.9</v>
      </c>
      <c r="F917">
        <v>12</v>
      </c>
      <c r="G917" t="s">
        <v>33</v>
      </c>
      <c r="H917" t="s">
        <v>17</v>
      </c>
      <c r="I917">
        <v>18</v>
      </c>
      <c r="J917">
        <v>12.6</v>
      </c>
      <c r="K917">
        <v>15.6</v>
      </c>
      <c r="L917">
        <v>18</v>
      </c>
      <c r="M917">
        <v>359</v>
      </c>
      <c r="O917">
        <f t="shared" si="28"/>
        <v>2118.1</v>
      </c>
      <c r="P917">
        <f t="shared" si="29"/>
        <v>34.81</v>
      </c>
    </row>
    <row r="918" spans="1:16" x14ac:dyDescent="0.25">
      <c r="A918">
        <v>2014</v>
      </c>
      <c r="B918" t="s">
        <v>30</v>
      </c>
      <c r="C918" t="s">
        <v>34</v>
      </c>
      <c r="D918" t="s">
        <v>35</v>
      </c>
      <c r="E918">
        <v>5.9</v>
      </c>
      <c r="F918">
        <v>12</v>
      </c>
      <c r="G918" t="s">
        <v>33</v>
      </c>
      <c r="H918" t="s">
        <v>17</v>
      </c>
      <c r="I918">
        <v>18</v>
      </c>
      <c r="J918">
        <v>12.6</v>
      </c>
      <c r="K918">
        <v>15.6</v>
      </c>
      <c r="L918">
        <v>18</v>
      </c>
      <c r="M918">
        <v>359</v>
      </c>
      <c r="O918">
        <f t="shared" si="28"/>
        <v>2118.1</v>
      </c>
      <c r="P918">
        <f t="shared" si="29"/>
        <v>34.81</v>
      </c>
    </row>
    <row r="919" spans="1:16" x14ac:dyDescent="0.25">
      <c r="A919">
        <v>2014</v>
      </c>
      <c r="B919" t="s">
        <v>30</v>
      </c>
      <c r="C919" t="s">
        <v>40</v>
      </c>
      <c r="D919" t="s">
        <v>32</v>
      </c>
      <c r="E919">
        <v>5.9</v>
      </c>
      <c r="F919">
        <v>12</v>
      </c>
      <c r="G919" t="s">
        <v>33</v>
      </c>
      <c r="H919" t="s">
        <v>17</v>
      </c>
      <c r="I919">
        <v>18</v>
      </c>
      <c r="J919">
        <v>12.6</v>
      </c>
      <c r="K919">
        <v>15.6</v>
      </c>
      <c r="L919">
        <v>18</v>
      </c>
      <c r="M919">
        <v>359</v>
      </c>
      <c r="O919">
        <f t="shared" si="28"/>
        <v>2118.1</v>
      </c>
      <c r="P919">
        <f t="shared" si="29"/>
        <v>34.81</v>
      </c>
    </row>
    <row r="920" spans="1:16" x14ac:dyDescent="0.25">
      <c r="A920">
        <v>2014</v>
      </c>
      <c r="B920" t="s">
        <v>141</v>
      </c>
      <c r="C920" t="s">
        <v>147</v>
      </c>
      <c r="D920" t="s">
        <v>26</v>
      </c>
      <c r="E920">
        <v>3.6</v>
      </c>
      <c r="F920">
        <v>6</v>
      </c>
      <c r="G920" t="s">
        <v>23</v>
      </c>
      <c r="H920" t="s">
        <v>148</v>
      </c>
      <c r="I920">
        <v>18.399999999999999</v>
      </c>
      <c r="J920">
        <v>12.2</v>
      </c>
      <c r="K920">
        <v>15.6</v>
      </c>
      <c r="L920">
        <v>18</v>
      </c>
      <c r="M920">
        <v>250</v>
      </c>
      <c r="O920">
        <f t="shared" si="28"/>
        <v>900</v>
      </c>
      <c r="P920">
        <f t="shared" si="29"/>
        <v>12.96</v>
      </c>
    </row>
    <row r="921" spans="1:16" x14ac:dyDescent="0.25">
      <c r="A921">
        <v>2014</v>
      </c>
      <c r="B921" t="s">
        <v>232</v>
      </c>
      <c r="C921" t="s">
        <v>252</v>
      </c>
      <c r="D921" t="s">
        <v>64</v>
      </c>
      <c r="E921">
        <v>3.6</v>
      </c>
      <c r="F921">
        <v>6</v>
      </c>
      <c r="G921" t="s">
        <v>53</v>
      </c>
      <c r="H921" t="s">
        <v>148</v>
      </c>
      <c r="I921">
        <v>17.7</v>
      </c>
      <c r="J921">
        <v>13</v>
      </c>
      <c r="K921">
        <v>15.6</v>
      </c>
      <c r="L921">
        <v>18</v>
      </c>
      <c r="M921">
        <v>250</v>
      </c>
      <c r="O921">
        <f t="shared" si="28"/>
        <v>900</v>
      </c>
      <c r="P921">
        <f t="shared" si="29"/>
        <v>12.96</v>
      </c>
    </row>
    <row r="922" spans="1:16" x14ac:dyDescent="0.25">
      <c r="A922">
        <v>2014</v>
      </c>
      <c r="B922" t="s">
        <v>396</v>
      </c>
      <c r="C922" t="s">
        <v>407</v>
      </c>
      <c r="D922" t="s">
        <v>64</v>
      </c>
      <c r="E922">
        <v>3.6</v>
      </c>
      <c r="F922">
        <v>6</v>
      </c>
      <c r="G922" t="s">
        <v>53</v>
      </c>
      <c r="H922" t="s">
        <v>148</v>
      </c>
      <c r="I922">
        <v>17.7</v>
      </c>
      <c r="J922">
        <v>13</v>
      </c>
      <c r="K922">
        <v>15.6</v>
      </c>
      <c r="L922">
        <v>18</v>
      </c>
      <c r="M922">
        <v>250</v>
      </c>
      <c r="O922">
        <f t="shared" si="28"/>
        <v>900</v>
      </c>
      <c r="P922">
        <f t="shared" si="29"/>
        <v>12.96</v>
      </c>
    </row>
    <row r="923" spans="1:16" x14ac:dyDescent="0.25">
      <c r="A923">
        <v>2014</v>
      </c>
      <c r="B923" t="s">
        <v>506</v>
      </c>
      <c r="C923" t="s">
        <v>543</v>
      </c>
      <c r="D923" t="s">
        <v>64</v>
      </c>
      <c r="E923">
        <v>4.7</v>
      </c>
      <c r="F923">
        <v>8</v>
      </c>
      <c r="G923" t="s">
        <v>360</v>
      </c>
      <c r="H923" t="s">
        <v>17</v>
      </c>
      <c r="I923">
        <v>17.600000000000001</v>
      </c>
      <c r="J923">
        <v>13.1</v>
      </c>
      <c r="K923">
        <v>15.6</v>
      </c>
      <c r="L923">
        <v>18</v>
      </c>
      <c r="M923">
        <v>359</v>
      </c>
      <c r="O923">
        <f t="shared" si="28"/>
        <v>1687.3</v>
      </c>
      <c r="P923">
        <f t="shared" si="29"/>
        <v>22.090000000000003</v>
      </c>
    </row>
    <row r="924" spans="1:16" x14ac:dyDescent="0.25">
      <c r="A924">
        <v>2014</v>
      </c>
      <c r="B924" t="s">
        <v>593</v>
      </c>
      <c r="C924" t="s">
        <v>614</v>
      </c>
      <c r="D924" t="s">
        <v>202</v>
      </c>
      <c r="E924">
        <v>5.6</v>
      </c>
      <c r="F924">
        <v>8</v>
      </c>
      <c r="G924" t="s">
        <v>224</v>
      </c>
      <c r="H924" t="s">
        <v>143</v>
      </c>
      <c r="I924">
        <v>17.899999999999999</v>
      </c>
      <c r="J924">
        <v>12.8</v>
      </c>
      <c r="K924">
        <v>15.6</v>
      </c>
      <c r="L924">
        <v>18</v>
      </c>
      <c r="M924">
        <v>359</v>
      </c>
      <c r="O924">
        <f t="shared" si="28"/>
        <v>2010.3999999999999</v>
      </c>
      <c r="P924">
        <f t="shared" si="29"/>
        <v>31.359999999999996</v>
      </c>
    </row>
    <row r="925" spans="1:16" x14ac:dyDescent="0.25">
      <c r="A925">
        <v>2014</v>
      </c>
      <c r="B925" t="s">
        <v>659</v>
      </c>
      <c r="C925" t="s">
        <v>666</v>
      </c>
      <c r="D925" t="s">
        <v>26</v>
      </c>
      <c r="E925">
        <v>6.6</v>
      </c>
      <c r="F925">
        <v>12</v>
      </c>
      <c r="G925" t="s">
        <v>53</v>
      </c>
      <c r="H925" t="s">
        <v>17</v>
      </c>
      <c r="I925">
        <v>18.7</v>
      </c>
      <c r="J925">
        <v>11.8</v>
      </c>
      <c r="K925">
        <v>15.6</v>
      </c>
      <c r="L925">
        <v>18</v>
      </c>
      <c r="M925">
        <v>359</v>
      </c>
      <c r="O925">
        <f t="shared" si="28"/>
        <v>2369.4</v>
      </c>
      <c r="P925">
        <f t="shared" si="29"/>
        <v>43.559999999999995</v>
      </c>
    </row>
    <row r="926" spans="1:16" x14ac:dyDescent="0.25">
      <c r="A926">
        <v>2014</v>
      </c>
      <c r="B926" t="s">
        <v>41</v>
      </c>
      <c r="C926" t="s">
        <v>55</v>
      </c>
      <c r="D926" t="s">
        <v>56</v>
      </c>
      <c r="E926">
        <v>6.3</v>
      </c>
      <c r="F926">
        <v>12</v>
      </c>
      <c r="G926" t="s">
        <v>45</v>
      </c>
      <c r="H926" t="s">
        <v>17</v>
      </c>
      <c r="I926">
        <v>18.2</v>
      </c>
      <c r="J926">
        <v>12.6</v>
      </c>
      <c r="K926">
        <v>15.7</v>
      </c>
      <c r="L926">
        <v>18</v>
      </c>
      <c r="M926">
        <v>361</v>
      </c>
      <c r="O926">
        <f t="shared" si="28"/>
        <v>2274.2999999999997</v>
      </c>
      <c r="P926">
        <f t="shared" si="29"/>
        <v>39.69</v>
      </c>
    </row>
    <row r="927" spans="1:16" x14ac:dyDescent="0.25">
      <c r="A927">
        <v>2014</v>
      </c>
      <c r="B927" t="s">
        <v>232</v>
      </c>
      <c r="C927" t="s">
        <v>244</v>
      </c>
      <c r="D927" t="s">
        <v>56</v>
      </c>
      <c r="E927">
        <v>3.6</v>
      </c>
      <c r="F927">
        <v>6</v>
      </c>
      <c r="G927" t="s">
        <v>224</v>
      </c>
      <c r="H927" t="s">
        <v>148</v>
      </c>
      <c r="I927">
        <v>18.3</v>
      </c>
      <c r="J927">
        <v>12.6</v>
      </c>
      <c r="K927">
        <v>15.7</v>
      </c>
      <c r="L927">
        <v>18</v>
      </c>
      <c r="M927">
        <v>251</v>
      </c>
      <c r="O927">
        <f t="shared" si="28"/>
        <v>903.6</v>
      </c>
      <c r="P927">
        <f t="shared" si="29"/>
        <v>12.96</v>
      </c>
    </row>
    <row r="928" spans="1:16" x14ac:dyDescent="0.25">
      <c r="A928">
        <v>2014</v>
      </c>
      <c r="B928" t="s">
        <v>265</v>
      </c>
      <c r="C928" t="s">
        <v>303</v>
      </c>
      <c r="D928" t="s">
        <v>56</v>
      </c>
      <c r="E928">
        <v>3.5</v>
      </c>
      <c r="F928">
        <v>6</v>
      </c>
      <c r="G928" t="s">
        <v>23</v>
      </c>
      <c r="H928" t="s">
        <v>148</v>
      </c>
      <c r="I928">
        <v>18.399999999999999</v>
      </c>
      <c r="J928">
        <v>12.5</v>
      </c>
      <c r="K928">
        <v>15.7</v>
      </c>
      <c r="L928">
        <v>18</v>
      </c>
      <c r="M928">
        <v>251</v>
      </c>
      <c r="O928">
        <f t="shared" si="28"/>
        <v>878.5</v>
      </c>
      <c r="P928">
        <f t="shared" si="29"/>
        <v>12.25</v>
      </c>
    </row>
    <row r="929" spans="1:16" x14ac:dyDescent="0.25">
      <c r="A929">
        <v>2014</v>
      </c>
      <c r="B929" t="s">
        <v>431</v>
      </c>
      <c r="C929" t="s">
        <v>433</v>
      </c>
      <c r="D929" t="s">
        <v>37</v>
      </c>
      <c r="E929">
        <v>5.2</v>
      </c>
      <c r="F929">
        <v>10</v>
      </c>
      <c r="G929" t="s">
        <v>33</v>
      </c>
      <c r="H929" t="s">
        <v>17</v>
      </c>
      <c r="I929">
        <v>18</v>
      </c>
      <c r="J929">
        <v>12.8</v>
      </c>
      <c r="K929">
        <v>15.7</v>
      </c>
      <c r="L929">
        <v>18</v>
      </c>
      <c r="M929">
        <v>361</v>
      </c>
      <c r="O929">
        <f t="shared" si="28"/>
        <v>1877.2</v>
      </c>
      <c r="P929">
        <f t="shared" si="29"/>
        <v>27.040000000000003</v>
      </c>
    </row>
    <row r="930" spans="1:16" x14ac:dyDescent="0.25">
      <c r="A930">
        <v>2014</v>
      </c>
      <c r="B930" t="s">
        <v>506</v>
      </c>
      <c r="C930" t="s">
        <v>561</v>
      </c>
      <c r="D930" t="s">
        <v>37</v>
      </c>
      <c r="E930">
        <v>6.2</v>
      </c>
      <c r="F930">
        <v>8</v>
      </c>
      <c r="G930" t="s">
        <v>360</v>
      </c>
      <c r="H930" t="s">
        <v>17</v>
      </c>
      <c r="I930">
        <v>18.2</v>
      </c>
      <c r="J930">
        <v>12.6</v>
      </c>
      <c r="K930">
        <v>15.7</v>
      </c>
      <c r="L930">
        <v>18</v>
      </c>
      <c r="M930">
        <v>361</v>
      </c>
      <c r="O930">
        <f t="shared" si="28"/>
        <v>2238.2000000000003</v>
      </c>
      <c r="P930">
        <f t="shared" si="29"/>
        <v>38.440000000000005</v>
      </c>
    </row>
    <row r="931" spans="1:16" x14ac:dyDescent="0.25">
      <c r="A931">
        <v>2014</v>
      </c>
      <c r="B931" t="s">
        <v>506</v>
      </c>
      <c r="C931" t="s">
        <v>562</v>
      </c>
      <c r="D931" t="s">
        <v>37</v>
      </c>
      <c r="E931">
        <v>6.2</v>
      </c>
      <c r="F931">
        <v>8</v>
      </c>
      <c r="G931" t="s">
        <v>360</v>
      </c>
      <c r="H931" t="s">
        <v>17</v>
      </c>
      <c r="I931">
        <v>18.2</v>
      </c>
      <c r="J931">
        <v>12.6</v>
      </c>
      <c r="K931">
        <v>15.7</v>
      </c>
      <c r="L931">
        <v>18</v>
      </c>
      <c r="M931">
        <v>361</v>
      </c>
      <c r="O931">
        <f t="shared" si="28"/>
        <v>2238.2000000000003</v>
      </c>
      <c r="P931">
        <f t="shared" si="29"/>
        <v>38.440000000000005</v>
      </c>
    </row>
    <row r="932" spans="1:16" x14ac:dyDescent="0.25">
      <c r="A932">
        <v>2014</v>
      </c>
      <c r="B932" t="s">
        <v>396</v>
      </c>
      <c r="C932" t="s">
        <v>408</v>
      </c>
      <c r="D932" t="s">
        <v>64</v>
      </c>
      <c r="E932">
        <v>6.4</v>
      </c>
      <c r="F932">
        <v>8</v>
      </c>
      <c r="G932" t="s">
        <v>53</v>
      </c>
      <c r="H932" t="s">
        <v>17</v>
      </c>
      <c r="I932">
        <v>18.5</v>
      </c>
      <c r="J932">
        <v>12.6</v>
      </c>
      <c r="K932">
        <v>15.8</v>
      </c>
      <c r="L932">
        <v>18</v>
      </c>
      <c r="M932">
        <v>363</v>
      </c>
      <c r="O932">
        <f t="shared" si="28"/>
        <v>2323.2000000000003</v>
      </c>
      <c r="P932">
        <f t="shared" si="29"/>
        <v>40.960000000000008</v>
      </c>
    </row>
    <row r="933" spans="1:16" x14ac:dyDescent="0.25">
      <c r="A933">
        <v>2014</v>
      </c>
      <c r="B933" t="s">
        <v>506</v>
      </c>
      <c r="C933" t="s">
        <v>544</v>
      </c>
      <c r="D933" t="s">
        <v>64</v>
      </c>
      <c r="E933">
        <v>5.5</v>
      </c>
      <c r="F933">
        <v>8</v>
      </c>
      <c r="G933" t="s">
        <v>360</v>
      </c>
      <c r="H933" t="s">
        <v>17</v>
      </c>
      <c r="I933">
        <v>17.7</v>
      </c>
      <c r="J933">
        <v>13.4</v>
      </c>
      <c r="K933">
        <v>15.8</v>
      </c>
      <c r="L933">
        <v>18</v>
      </c>
      <c r="M933">
        <v>363</v>
      </c>
      <c r="O933">
        <f t="shared" si="28"/>
        <v>1996.5</v>
      </c>
      <c r="P933">
        <f t="shared" si="29"/>
        <v>30.25</v>
      </c>
    </row>
    <row r="934" spans="1:16" x14ac:dyDescent="0.25">
      <c r="A934">
        <v>2014</v>
      </c>
      <c r="B934" t="s">
        <v>175</v>
      </c>
      <c r="C934" t="s">
        <v>187</v>
      </c>
      <c r="D934" t="s">
        <v>188</v>
      </c>
      <c r="E934">
        <v>5.3</v>
      </c>
      <c r="F934">
        <v>8</v>
      </c>
      <c r="G934" t="s">
        <v>42</v>
      </c>
      <c r="H934" t="s">
        <v>143</v>
      </c>
      <c r="I934">
        <v>18</v>
      </c>
      <c r="J934">
        <v>13.4</v>
      </c>
      <c r="K934">
        <v>15.9</v>
      </c>
      <c r="L934">
        <v>18</v>
      </c>
      <c r="M934">
        <v>366</v>
      </c>
      <c r="O934">
        <f t="shared" si="28"/>
        <v>1939.8</v>
      </c>
      <c r="P934">
        <f t="shared" si="29"/>
        <v>28.09</v>
      </c>
    </row>
    <row r="935" spans="1:16" x14ac:dyDescent="0.25">
      <c r="A935">
        <v>2014</v>
      </c>
      <c r="B935" t="s">
        <v>265</v>
      </c>
      <c r="C935" t="s">
        <v>278</v>
      </c>
      <c r="D935" t="s">
        <v>64</v>
      </c>
      <c r="E935">
        <v>3.5</v>
      </c>
      <c r="F935">
        <v>6</v>
      </c>
      <c r="G935" t="s">
        <v>23</v>
      </c>
      <c r="H935" t="s">
        <v>148</v>
      </c>
      <c r="I935">
        <v>18.3</v>
      </c>
      <c r="J935">
        <v>12.9</v>
      </c>
      <c r="K935">
        <v>15.9</v>
      </c>
      <c r="L935">
        <v>18</v>
      </c>
      <c r="M935">
        <v>254</v>
      </c>
      <c r="O935">
        <f t="shared" si="28"/>
        <v>889</v>
      </c>
      <c r="P935">
        <f t="shared" si="29"/>
        <v>12.25</v>
      </c>
    </row>
    <row r="936" spans="1:16" x14ac:dyDescent="0.25">
      <c r="A936">
        <v>2014</v>
      </c>
      <c r="B936" t="s">
        <v>265</v>
      </c>
      <c r="C936" t="s">
        <v>280</v>
      </c>
      <c r="D936" t="s">
        <v>202</v>
      </c>
      <c r="E936">
        <v>6.2</v>
      </c>
      <c r="F936">
        <v>8</v>
      </c>
      <c r="G936" t="s">
        <v>23</v>
      </c>
      <c r="H936" t="s">
        <v>143</v>
      </c>
      <c r="I936">
        <v>18.3</v>
      </c>
      <c r="J936">
        <v>12.9</v>
      </c>
      <c r="K936">
        <v>15.9</v>
      </c>
      <c r="L936">
        <v>18</v>
      </c>
      <c r="M936">
        <v>366</v>
      </c>
      <c r="O936">
        <f t="shared" si="28"/>
        <v>2269.2000000000003</v>
      </c>
      <c r="P936">
        <f t="shared" si="29"/>
        <v>38.440000000000005</v>
      </c>
    </row>
    <row r="937" spans="1:16" x14ac:dyDescent="0.25">
      <c r="A937">
        <v>2014</v>
      </c>
      <c r="B937" t="s">
        <v>308</v>
      </c>
      <c r="C937" t="s">
        <v>311</v>
      </c>
      <c r="D937" t="s">
        <v>188</v>
      </c>
      <c r="E937">
        <v>5.3</v>
      </c>
      <c r="F937">
        <v>8</v>
      </c>
      <c r="G937" t="s">
        <v>42</v>
      </c>
      <c r="H937" t="s">
        <v>143</v>
      </c>
      <c r="I937">
        <v>18</v>
      </c>
      <c r="J937">
        <v>13.4</v>
      </c>
      <c r="K937">
        <v>15.9</v>
      </c>
      <c r="L937">
        <v>18</v>
      </c>
      <c r="M937">
        <v>366</v>
      </c>
      <c r="O937">
        <f t="shared" si="28"/>
        <v>1939.8</v>
      </c>
      <c r="P937">
        <f t="shared" si="29"/>
        <v>28.09</v>
      </c>
    </row>
    <row r="938" spans="1:16" x14ac:dyDescent="0.25">
      <c r="A938">
        <v>2014</v>
      </c>
      <c r="B938" t="s">
        <v>650</v>
      </c>
      <c r="C938" t="s">
        <v>658</v>
      </c>
      <c r="D938" t="s">
        <v>231</v>
      </c>
      <c r="E938">
        <v>3.6</v>
      </c>
      <c r="F938">
        <v>6</v>
      </c>
      <c r="G938" t="s">
        <v>33</v>
      </c>
      <c r="H938" t="s">
        <v>148</v>
      </c>
      <c r="I938">
        <v>18.600000000000001</v>
      </c>
      <c r="J938">
        <v>12.7</v>
      </c>
      <c r="K938">
        <v>15.9</v>
      </c>
      <c r="L938">
        <v>18</v>
      </c>
      <c r="M938">
        <v>254</v>
      </c>
      <c r="O938">
        <f t="shared" si="28"/>
        <v>914.4</v>
      </c>
      <c r="P938">
        <f t="shared" si="29"/>
        <v>12.96</v>
      </c>
    </row>
    <row r="939" spans="1:16" x14ac:dyDescent="0.25">
      <c r="A939">
        <v>2014</v>
      </c>
      <c r="B939" t="s">
        <v>265</v>
      </c>
      <c r="C939" t="s">
        <v>275</v>
      </c>
      <c r="D939" t="s">
        <v>64</v>
      </c>
      <c r="E939">
        <v>5.4</v>
      </c>
      <c r="F939">
        <v>8</v>
      </c>
      <c r="G939" t="s">
        <v>33</v>
      </c>
      <c r="H939" t="s">
        <v>143</v>
      </c>
      <c r="I939">
        <v>18.2</v>
      </c>
      <c r="J939">
        <v>13.3</v>
      </c>
      <c r="K939">
        <v>16</v>
      </c>
      <c r="L939">
        <v>18</v>
      </c>
      <c r="M939">
        <v>368</v>
      </c>
      <c r="O939">
        <f t="shared" si="28"/>
        <v>1987.2</v>
      </c>
      <c r="P939">
        <f t="shared" si="29"/>
        <v>29.160000000000004</v>
      </c>
    </row>
    <row r="940" spans="1:16" x14ac:dyDescent="0.25">
      <c r="A940">
        <v>2014</v>
      </c>
      <c r="B940" t="s">
        <v>473</v>
      </c>
      <c r="C940" t="s">
        <v>482</v>
      </c>
      <c r="D940" t="s">
        <v>64</v>
      </c>
      <c r="E940">
        <v>5.4</v>
      </c>
      <c r="F940">
        <v>8</v>
      </c>
      <c r="G940" t="s">
        <v>33</v>
      </c>
      <c r="H940" t="s">
        <v>143</v>
      </c>
      <c r="I940">
        <v>18.2</v>
      </c>
      <c r="J940">
        <v>13.3</v>
      </c>
      <c r="K940">
        <v>16</v>
      </c>
      <c r="L940">
        <v>18</v>
      </c>
      <c r="M940">
        <v>368</v>
      </c>
      <c r="O940">
        <f t="shared" si="28"/>
        <v>1987.2</v>
      </c>
      <c r="P940">
        <f t="shared" si="29"/>
        <v>29.160000000000004</v>
      </c>
    </row>
    <row r="941" spans="1:16" x14ac:dyDescent="0.25">
      <c r="A941">
        <v>2014</v>
      </c>
      <c r="B941" t="s">
        <v>506</v>
      </c>
      <c r="C941" t="s">
        <v>547</v>
      </c>
      <c r="D941" t="s">
        <v>64</v>
      </c>
      <c r="E941">
        <v>3.5</v>
      </c>
      <c r="F941">
        <v>6</v>
      </c>
      <c r="G941" t="s">
        <v>360</v>
      </c>
      <c r="H941" t="s">
        <v>148</v>
      </c>
      <c r="I941">
        <v>17.8</v>
      </c>
      <c r="J941">
        <v>13.8</v>
      </c>
      <c r="K941">
        <v>16</v>
      </c>
      <c r="L941">
        <v>18</v>
      </c>
      <c r="M941">
        <v>256</v>
      </c>
      <c r="O941">
        <f t="shared" si="28"/>
        <v>896</v>
      </c>
      <c r="P941">
        <f t="shared" si="29"/>
        <v>12.25</v>
      </c>
    </row>
    <row r="942" spans="1:16" x14ac:dyDescent="0.25">
      <c r="A942">
        <v>2014</v>
      </c>
      <c r="B942" t="s">
        <v>659</v>
      </c>
      <c r="C942" t="s">
        <v>660</v>
      </c>
      <c r="D942" t="s">
        <v>56</v>
      </c>
      <c r="E942">
        <v>6.6</v>
      </c>
      <c r="F942">
        <v>12</v>
      </c>
      <c r="G942" t="s">
        <v>53</v>
      </c>
      <c r="H942" t="s">
        <v>17</v>
      </c>
      <c r="I942">
        <v>19.100000000000001</v>
      </c>
      <c r="J942">
        <v>12.3</v>
      </c>
      <c r="K942">
        <v>16</v>
      </c>
      <c r="L942">
        <v>18</v>
      </c>
      <c r="M942">
        <v>368</v>
      </c>
      <c r="O942">
        <f t="shared" si="28"/>
        <v>2428.7999999999997</v>
      </c>
      <c r="P942">
        <f t="shared" si="29"/>
        <v>43.559999999999995</v>
      </c>
    </row>
    <row r="943" spans="1:16" x14ac:dyDescent="0.25">
      <c r="A943">
        <v>2014</v>
      </c>
      <c r="B943" t="s">
        <v>659</v>
      </c>
      <c r="C943" t="s">
        <v>661</v>
      </c>
      <c r="D943" t="s">
        <v>56</v>
      </c>
      <c r="E943">
        <v>6.6</v>
      </c>
      <c r="F943">
        <v>12</v>
      </c>
      <c r="G943" t="s">
        <v>53</v>
      </c>
      <c r="H943" t="s">
        <v>17</v>
      </c>
      <c r="I943">
        <v>19.100000000000001</v>
      </c>
      <c r="J943">
        <v>12.3</v>
      </c>
      <c r="K943">
        <v>16</v>
      </c>
      <c r="L943">
        <v>18</v>
      </c>
      <c r="M943">
        <v>368</v>
      </c>
      <c r="O943">
        <f t="shared" si="28"/>
        <v>2428.7999999999997</v>
      </c>
      <c r="P943">
        <f t="shared" si="29"/>
        <v>43.559999999999995</v>
      </c>
    </row>
    <row r="944" spans="1:16" x14ac:dyDescent="0.25">
      <c r="A944">
        <v>2014</v>
      </c>
      <c r="B944" t="s">
        <v>90</v>
      </c>
      <c r="C944" t="s">
        <v>135</v>
      </c>
      <c r="D944" t="s">
        <v>64</v>
      </c>
      <c r="E944">
        <v>4.4000000000000004</v>
      </c>
      <c r="F944">
        <v>8</v>
      </c>
      <c r="G944" t="s">
        <v>33</v>
      </c>
      <c r="H944" t="s">
        <v>17</v>
      </c>
      <c r="I944">
        <v>18.100000000000001</v>
      </c>
      <c r="J944">
        <v>13.7</v>
      </c>
      <c r="K944">
        <v>16.100000000000001</v>
      </c>
      <c r="L944">
        <v>18</v>
      </c>
      <c r="M944">
        <v>370</v>
      </c>
      <c r="O944">
        <f t="shared" si="28"/>
        <v>1628.0000000000002</v>
      </c>
      <c r="P944">
        <f t="shared" si="29"/>
        <v>19.360000000000003</v>
      </c>
    </row>
    <row r="945" spans="1:16" x14ac:dyDescent="0.25">
      <c r="A945">
        <v>2014</v>
      </c>
      <c r="B945" t="s">
        <v>175</v>
      </c>
      <c r="C945" t="s">
        <v>185</v>
      </c>
      <c r="D945" t="s">
        <v>22</v>
      </c>
      <c r="E945">
        <v>3.6</v>
      </c>
      <c r="F945">
        <v>6</v>
      </c>
      <c r="G945" t="s">
        <v>33</v>
      </c>
      <c r="H945" t="s">
        <v>148</v>
      </c>
      <c r="I945">
        <v>18.8</v>
      </c>
      <c r="J945">
        <v>13.1</v>
      </c>
      <c r="K945">
        <v>16.2</v>
      </c>
      <c r="L945">
        <v>17</v>
      </c>
      <c r="M945">
        <v>259</v>
      </c>
      <c r="O945">
        <f t="shared" si="28"/>
        <v>932.4</v>
      </c>
      <c r="P945">
        <f t="shared" si="29"/>
        <v>12.96</v>
      </c>
    </row>
    <row r="946" spans="1:16" x14ac:dyDescent="0.25">
      <c r="A946">
        <v>2014</v>
      </c>
      <c r="B946" t="s">
        <v>232</v>
      </c>
      <c r="C946" t="s">
        <v>256</v>
      </c>
      <c r="D946" t="s">
        <v>22</v>
      </c>
      <c r="E946">
        <v>3.6</v>
      </c>
      <c r="F946">
        <v>6</v>
      </c>
      <c r="G946" t="s">
        <v>33</v>
      </c>
      <c r="H946" t="s">
        <v>148</v>
      </c>
      <c r="I946">
        <v>18.899999999999999</v>
      </c>
      <c r="J946">
        <v>12.9</v>
      </c>
      <c r="K946">
        <v>16.2</v>
      </c>
      <c r="L946">
        <v>17</v>
      </c>
      <c r="M946">
        <v>259</v>
      </c>
      <c r="O946">
        <f t="shared" si="28"/>
        <v>932.4</v>
      </c>
      <c r="P946">
        <f t="shared" si="29"/>
        <v>12.96</v>
      </c>
    </row>
    <row r="947" spans="1:16" x14ac:dyDescent="0.25">
      <c r="A947">
        <v>2014</v>
      </c>
      <c r="B947" t="s">
        <v>265</v>
      </c>
      <c r="C947" t="s">
        <v>267</v>
      </c>
      <c r="D947" t="s">
        <v>188</v>
      </c>
      <c r="E947">
        <v>4.5999999999999996</v>
      </c>
      <c r="F947">
        <v>8</v>
      </c>
      <c r="G947" t="s">
        <v>42</v>
      </c>
      <c r="H947" t="s">
        <v>143</v>
      </c>
      <c r="I947">
        <v>17.7</v>
      </c>
      <c r="J947">
        <v>14.4</v>
      </c>
      <c r="K947">
        <v>16.2</v>
      </c>
      <c r="L947">
        <v>17</v>
      </c>
      <c r="M947">
        <v>373</v>
      </c>
      <c r="O947">
        <f t="shared" si="28"/>
        <v>1715.8</v>
      </c>
      <c r="P947">
        <f t="shared" si="29"/>
        <v>21.159999999999997</v>
      </c>
    </row>
    <row r="948" spans="1:16" x14ac:dyDescent="0.25">
      <c r="A948">
        <v>2014</v>
      </c>
      <c r="B948" t="s">
        <v>308</v>
      </c>
      <c r="C948" t="s">
        <v>321</v>
      </c>
      <c r="D948" t="s">
        <v>22</v>
      </c>
      <c r="E948">
        <v>3.6</v>
      </c>
      <c r="F948">
        <v>6</v>
      </c>
      <c r="G948" t="s">
        <v>33</v>
      </c>
      <c r="H948" t="s">
        <v>148</v>
      </c>
      <c r="I948">
        <v>18.8</v>
      </c>
      <c r="J948">
        <v>13.1</v>
      </c>
      <c r="K948">
        <v>16.2</v>
      </c>
      <c r="L948">
        <v>17</v>
      </c>
      <c r="M948">
        <v>259</v>
      </c>
      <c r="O948">
        <f t="shared" si="28"/>
        <v>932.4</v>
      </c>
      <c r="P948">
        <f t="shared" si="29"/>
        <v>12.96</v>
      </c>
    </row>
    <row r="949" spans="1:16" x14ac:dyDescent="0.25">
      <c r="A949">
        <v>2014</v>
      </c>
      <c r="B949" t="s">
        <v>691</v>
      </c>
      <c r="C949" t="s">
        <v>719</v>
      </c>
      <c r="D949" t="s">
        <v>202</v>
      </c>
      <c r="E949">
        <v>5.7</v>
      </c>
      <c r="F949">
        <v>8</v>
      </c>
      <c r="G949" t="s">
        <v>23</v>
      </c>
      <c r="H949" t="s">
        <v>143</v>
      </c>
      <c r="I949">
        <v>18.100000000000001</v>
      </c>
      <c r="J949">
        <v>13.9</v>
      </c>
      <c r="K949">
        <v>16.2</v>
      </c>
      <c r="L949">
        <v>17</v>
      </c>
      <c r="M949">
        <v>373</v>
      </c>
      <c r="O949">
        <f t="shared" si="28"/>
        <v>2126.1</v>
      </c>
      <c r="P949">
        <f t="shared" si="29"/>
        <v>32.49</v>
      </c>
    </row>
    <row r="950" spans="1:16" x14ac:dyDescent="0.25">
      <c r="A950">
        <v>2014</v>
      </c>
      <c r="B950" t="s">
        <v>155</v>
      </c>
      <c r="C950" t="s">
        <v>169</v>
      </c>
      <c r="D950" t="s">
        <v>64</v>
      </c>
      <c r="E950">
        <v>6.2</v>
      </c>
      <c r="F950">
        <v>8</v>
      </c>
      <c r="G950" t="s">
        <v>33</v>
      </c>
      <c r="H950" t="s">
        <v>17</v>
      </c>
      <c r="I950">
        <v>18.8</v>
      </c>
      <c r="J950">
        <v>13.4</v>
      </c>
      <c r="K950">
        <v>16.399999999999999</v>
      </c>
      <c r="L950">
        <v>17</v>
      </c>
      <c r="M950">
        <v>377</v>
      </c>
      <c r="O950">
        <f t="shared" si="28"/>
        <v>2337.4</v>
      </c>
      <c r="P950">
        <f t="shared" si="29"/>
        <v>38.440000000000005</v>
      </c>
    </row>
    <row r="951" spans="1:16" x14ac:dyDescent="0.25">
      <c r="A951">
        <v>2014</v>
      </c>
      <c r="B951" t="s">
        <v>308</v>
      </c>
      <c r="C951" t="s">
        <v>326</v>
      </c>
      <c r="D951" t="s">
        <v>64</v>
      </c>
      <c r="E951">
        <v>6.2</v>
      </c>
      <c r="F951">
        <v>8</v>
      </c>
      <c r="G951" t="s">
        <v>33</v>
      </c>
      <c r="H951" t="s">
        <v>17</v>
      </c>
      <c r="I951">
        <v>18.8</v>
      </c>
      <c r="J951">
        <v>13.4</v>
      </c>
      <c r="K951">
        <v>16.399999999999999</v>
      </c>
      <c r="L951">
        <v>17</v>
      </c>
      <c r="M951">
        <v>377</v>
      </c>
      <c r="O951">
        <f t="shared" si="28"/>
        <v>2337.4</v>
      </c>
      <c r="P951">
        <f t="shared" si="29"/>
        <v>38.440000000000005</v>
      </c>
    </row>
    <row r="952" spans="1:16" x14ac:dyDescent="0.25">
      <c r="A952">
        <v>2014</v>
      </c>
      <c r="B952" t="s">
        <v>83</v>
      </c>
      <c r="C952" t="s">
        <v>86</v>
      </c>
      <c r="D952" t="s">
        <v>35</v>
      </c>
      <c r="E952">
        <v>6</v>
      </c>
      <c r="F952">
        <v>12</v>
      </c>
      <c r="G952" t="s">
        <v>45</v>
      </c>
      <c r="H952" t="s">
        <v>17</v>
      </c>
      <c r="I952">
        <v>20</v>
      </c>
      <c r="J952">
        <v>12.2</v>
      </c>
      <c r="K952">
        <v>16.5</v>
      </c>
      <c r="L952">
        <v>17</v>
      </c>
      <c r="M952">
        <v>380</v>
      </c>
      <c r="O952">
        <f t="shared" si="28"/>
        <v>2280</v>
      </c>
      <c r="P952">
        <f t="shared" si="29"/>
        <v>36</v>
      </c>
    </row>
    <row r="953" spans="1:16" x14ac:dyDescent="0.25">
      <c r="A953">
        <v>2014</v>
      </c>
      <c r="B953" t="s">
        <v>83</v>
      </c>
      <c r="C953" t="s">
        <v>87</v>
      </c>
      <c r="D953" t="s">
        <v>35</v>
      </c>
      <c r="E953">
        <v>6</v>
      </c>
      <c r="F953">
        <v>12</v>
      </c>
      <c r="G953" t="s">
        <v>45</v>
      </c>
      <c r="H953" t="s">
        <v>17</v>
      </c>
      <c r="I953">
        <v>20</v>
      </c>
      <c r="J953">
        <v>12.2</v>
      </c>
      <c r="K953">
        <v>16.5</v>
      </c>
      <c r="L953">
        <v>17</v>
      </c>
      <c r="M953">
        <v>380</v>
      </c>
      <c r="O953">
        <f t="shared" si="28"/>
        <v>2280</v>
      </c>
      <c r="P953">
        <f t="shared" si="29"/>
        <v>36</v>
      </c>
    </row>
    <row r="954" spans="1:16" x14ac:dyDescent="0.25">
      <c r="A954">
        <v>2014</v>
      </c>
      <c r="B954" t="s">
        <v>83</v>
      </c>
      <c r="C954" t="s">
        <v>88</v>
      </c>
      <c r="D954" t="s">
        <v>26</v>
      </c>
      <c r="E954">
        <v>6</v>
      </c>
      <c r="F954">
        <v>12</v>
      </c>
      <c r="G954" t="s">
        <v>45</v>
      </c>
      <c r="H954" t="s">
        <v>17</v>
      </c>
      <c r="I954">
        <v>20</v>
      </c>
      <c r="J954">
        <v>12.2</v>
      </c>
      <c r="K954">
        <v>16.5</v>
      </c>
      <c r="L954">
        <v>17</v>
      </c>
      <c r="M954">
        <v>380</v>
      </c>
      <c r="O954">
        <f t="shared" si="28"/>
        <v>2280</v>
      </c>
      <c r="P954">
        <f t="shared" si="29"/>
        <v>36</v>
      </c>
    </row>
    <row r="955" spans="1:16" x14ac:dyDescent="0.25">
      <c r="A955">
        <v>2014</v>
      </c>
      <c r="B955" t="s">
        <v>141</v>
      </c>
      <c r="C955" t="s">
        <v>149</v>
      </c>
      <c r="D955" t="s">
        <v>26</v>
      </c>
      <c r="E955">
        <v>3.6</v>
      </c>
      <c r="F955">
        <v>6</v>
      </c>
      <c r="G955" t="s">
        <v>23</v>
      </c>
      <c r="H955" t="s">
        <v>148</v>
      </c>
      <c r="I955">
        <v>19.399999999999999</v>
      </c>
      <c r="J955">
        <v>13</v>
      </c>
      <c r="K955">
        <v>16.5</v>
      </c>
      <c r="L955">
        <v>17</v>
      </c>
      <c r="M955">
        <v>264</v>
      </c>
      <c r="O955">
        <f t="shared" si="28"/>
        <v>950.4</v>
      </c>
      <c r="P955">
        <f t="shared" si="29"/>
        <v>12.96</v>
      </c>
    </row>
    <row r="956" spans="1:16" x14ac:dyDescent="0.25">
      <c r="A956">
        <v>2014</v>
      </c>
      <c r="B956" t="s">
        <v>175</v>
      </c>
      <c r="C956" t="s">
        <v>189</v>
      </c>
      <c r="D956" t="s">
        <v>188</v>
      </c>
      <c r="E956">
        <v>5.3</v>
      </c>
      <c r="F956">
        <v>8</v>
      </c>
      <c r="G956" t="s">
        <v>42</v>
      </c>
      <c r="H956" t="s">
        <v>143</v>
      </c>
      <c r="I956">
        <v>18.3</v>
      </c>
      <c r="J956">
        <v>14.2</v>
      </c>
      <c r="K956">
        <v>16.5</v>
      </c>
      <c r="L956">
        <v>17</v>
      </c>
      <c r="M956">
        <v>380</v>
      </c>
      <c r="O956">
        <f t="shared" si="28"/>
        <v>2014</v>
      </c>
      <c r="P956">
        <f t="shared" si="29"/>
        <v>28.09</v>
      </c>
    </row>
    <row r="957" spans="1:16" x14ac:dyDescent="0.25">
      <c r="A957">
        <v>2014</v>
      </c>
      <c r="B957" t="s">
        <v>175</v>
      </c>
      <c r="C957" t="s">
        <v>190</v>
      </c>
      <c r="D957" t="s">
        <v>188</v>
      </c>
      <c r="E957">
        <v>5.3</v>
      </c>
      <c r="F957">
        <v>8</v>
      </c>
      <c r="G957" t="s">
        <v>42</v>
      </c>
      <c r="H957" t="s">
        <v>143</v>
      </c>
      <c r="I957">
        <v>18.600000000000001</v>
      </c>
      <c r="J957">
        <v>13.9</v>
      </c>
      <c r="K957">
        <v>16.5</v>
      </c>
      <c r="L957">
        <v>17</v>
      </c>
      <c r="M957">
        <v>380</v>
      </c>
      <c r="O957">
        <f t="shared" si="28"/>
        <v>2014</v>
      </c>
      <c r="P957">
        <f t="shared" si="29"/>
        <v>28.09</v>
      </c>
    </row>
    <row r="958" spans="1:16" x14ac:dyDescent="0.25">
      <c r="A958">
        <v>2014</v>
      </c>
      <c r="B958" t="s">
        <v>175</v>
      </c>
      <c r="C958" t="s">
        <v>191</v>
      </c>
      <c r="D958" t="s">
        <v>188</v>
      </c>
      <c r="E958">
        <v>5.3</v>
      </c>
      <c r="F958">
        <v>8</v>
      </c>
      <c r="G958" t="s">
        <v>42</v>
      </c>
      <c r="H958" t="s">
        <v>143</v>
      </c>
      <c r="I958">
        <v>18.3</v>
      </c>
      <c r="J958">
        <v>14.2</v>
      </c>
      <c r="K958">
        <v>16.5</v>
      </c>
      <c r="L958">
        <v>17</v>
      </c>
      <c r="M958">
        <v>380</v>
      </c>
      <c r="O958">
        <f t="shared" si="28"/>
        <v>2014</v>
      </c>
      <c r="P958">
        <f t="shared" si="29"/>
        <v>28.09</v>
      </c>
    </row>
    <row r="959" spans="1:16" x14ac:dyDescent="0.25">
      <c r="A959">
        <v>2014</v>
      </c>
      <c r="B959" t="s">
        <v>175</v>
      </c>
      <c r="C959" t="s">
        <v>192</v>
      </c>
      <c r="D959" t="s">
        <v>193</v>
      </c>
      <c r="E959">
        <v>5.3</v>
      </c>
      <c r="F959">
        <v>8</v>
      </c>
      <c r="G959" t="s">
        <v>42</v>
      </c>
      <c r="H959" t="s">
        <v>143</v>
      </c>
      <c r="I959">
        <v>18.600000000000001</v>
      </c>
      <c r="J959">
        <v>13.9</v>
      </c>
      <c r="K959">
        <v>16.5</v>
      </c>
      <c r="L959">
        <v>17</v>
      </c>
      <c r="M959">
        <v>380</v>
      </c>
      <c r="O959">
        <f t="shared" si="28"/>
        <v>2014</v>
      </c>
      <c r="P959">
        <f t="shared" si="29"/>
        <v>28.09</v>
      </c>
    </row>
    <row r="960" spans="1:16" x14ac:dyDescent="0.25">
      <c r="A960">
        <v>2014</v>
      </c>
      <c r="B960" t="s">
        <v>175</v>
      </c>
      <c r="C960" t="s">
        <v>194</v>
      </c>
      <c r="D960" t="s">
        <v>193</v>
      </c>
      <c r="E960">
        <v>5.3</v>
      </c>
      <c r="F960">
        <v>8</v>
      </c>
      <c r="G960" t="s">
        <v>42</v>
      </c>
      <c r="H960" t="s">
        <v>143</v>
      </c>
      <c r="I960">
        <v>18.3</v>
      </c>
      <c r="J960">
        <v>14.2</v>
      </c>
      <c r="K960">
        <v>16.5</v>
      </c>
      <c r="L960">
        <v>17</v>
      </c>
      <c r="M960">
        <v>380</v>
      </c>
      <c r="O960">
        <f t="shared" si="28"/>
        <v>2014</v>
      </c>
      <c r="P960">
        <f t="shared" si="29"/>
        <v>28.09</v>
      </c>
    </row>
    <row r="961" spans="1:16" x14ac:dyDescent="0.25">
      <c r="A961">
        <v>2014</v>
      </c>
      <c r="B961" t="s">
        <v>232</v>
      </c>
      <c r="C961" t="s">
        <v>253</v>
      </c>
      <c r="D961" t="s">
        <v>231</v>
      </c>
      <c r="E961">
        <v>3.6</v>
      </c>
      <c r="F961">
        <v>6</v>
      </c>
      <c r="G961" t="s">
        <v>33</v>
      </c>
      <c r="H961" t="s">
        <v>148</v>
      </c>
      <c r="I961">
        <v>19.2</v>
      </c>
      <c r="J961">
        <v>13.1</v>
      </c>
      <c r="K961">
        <v>16.5</v>
      </c>
      <c r="L961">
        <v>17</v>
      </c>
      <c r="M961">
        <v>264</v>
      </c>
      <c r="O961">
        <f t="shared" si="28"/>
        <v>950.4</v>
      </c>
      <c r="P961">
        <f t="shared" si="29"/>
        <v>12.96</v>
      </c>
    </row>
    <row r="962" spans="1:16" x14ac:dyDescent="0.25">
      <c r="A962">
        <v>2014</v>
      </c>
      <c r="B962" t="s">
        <v>265</v>
      </c>
      <c r="C962" t="s">
        <v>282</v>
      </c>
      <c r="D962" t="s">
        <v>202</v>
      </c>
      <c r="E962">
        <v>3.7</v>
      </c>
      <c r="F962">
        <v>6</v>
      </c>
      <c r="G962" t="s">
        <v>33</v>
      </c>
      <c r="H962" t="s">
        <v>148</v>
      </c>
      <c r="I962">
        <v>18.8</v>
      </c>
      <c r="J962">
        <v>13.7</v>
      </c>
      <c r="K962">
        <v>16.5</v>
      </c>
      <c r="L962">
        <v>17</v>
      </c>
      <c r="M962">
        <v>264</v>
      </c>
      <c r="O962">
        <f t="shared" si="28"/>
        <v>976.80000000000007</v>
      </c>
      <c r="P962">
        <f t="shared" si="29"/>
        <v>13.690000000000001</v>
      </c>
    </row>
    <row r="963" spans="1:16" x14ac:dyDescent="0.25">
      <c r="A963">
        <v>2014</v>
      </c>
      <c r="B963" t="s">
        <v>265</v>
      </c>
      <c r="C963" t="s">
        <v>282</v>
      </c>
      <c r="D963" t="s">
        <v>202</v>
      </c>
      <c r="E963">
        <v>3.7</v>
      </c>
      <c r="F963">
        <v>6</v>
      </c>
      <c r="G963" t="s">
        <v>23</v>
      </c>
      <c r="H963" t="s">
        <v>148</v>
      </c>
      <c r="I963">
        <v>18.8</v>
      </c>
      <c r="J963">
        <v>13.7</v>
      </c>
      <c r="K963">
        <v>16.5</v>
      </c>
      <c r="L963">
        <v>17</v>
      </c>
      <c r="M963">
        <v>264</v>
      </c>
      <c r="O963">
        <f t="shared" ref="O963:O1026" si="30">M963*E963</f>
        <v>976.80000000000007</v>
      </c>
      <c r="P963">
        <f t="shared" ref="P963:P1026" si="31">E963*E963</f>
        <v>13.690000000000001</v>
      </c>
    </row>
    <row r="964" spans="1:16" x14ac:dyDescent="0.25">
      <c r="A964">
        <v>2014</v>
      </c>
      <c r="B964" t="s">
        <v>308</v>
      </c>
      <c r="C964" t="s">
        <v>312</v>
      </c>
      <c r="D964" t="s">
        <v>188</v>
      </c>
      <c r="E964">
        <v>5.3</v>
      </c>
      <c r="F964">
        <v>8</v>
      </c>
      <c r="G964" t="s">
        <v>42</v>
      </c>
      <c r="H964" t="s">
        <v>143</v>
      </c>
      <c r="I964">
        <v>18.3</v>
      </c>
      <c r="J964">
        <v>14.2</v>
      </c>
      <c r="K964">
        <v>16.5</v>
      </c>
      <c r="L964">
        <v>17</v>
      </c>
      <c r="M964">
        <v>380</v>
      </c>
      <c r="O964">
        <f t="shared" si="30"/>
        <v>2014</v>
      </c>
      <c r="P964">
        <f t="shared" si="31"/>
        <v>28.09</v>
      </c>
    </row>
    <row r="965" spans="1:16" x14ac:dyDescent="0.25">
      <c r="A965">
        <v>2014</v>
      </c>
      <c r="B965" t="s">
        <v>308</v>
      </c>
      <c r="C965" t="s">
        <v>313</v>
      </c>
      <c r="D965" t="s">
        <v>188</v>
      </c>
      <c r="E965">
        <v>5.3</v>
      </c>
      <c r="F965">
        <v>8</v>
      </c>
      <c r="G965" t="s">
        <v>42</v>
      </c>
      <c r="H965" t="s">
        <v>143</v>
      </c>
      <c r="I965">
        <v>18.600000000000001</v>
      </c>
      <c r="J965">
        <v>13.9</v>
      </c>
      <c r="K965">
        <v>16.5</v>
      </c>
      <c r="L965">
        <v>17</v>
      </c>
      <c r="M965">
        <v>380</v>
      </c>
      <c r="O965">
        <f t="shared" si="30"/>
        <v>2014</v>
      </c>
      <c r="P965">
        <f t="shared" si="31"/>
        <v>28.09</v>
      </c>
    </row>
    <row r="966" spans="1:16" x14ac:dyDescent="0.25">
      <c r="A966">
        <v>2014</v>
      </c>
      <c r="B966" t="s">
        <v>308</v>
      </c>
      <c r="C966" t="s">
        <v>314</v>
      </c>
      <c r="D966" t="s">
        <v>188</v>
      </c>
      <c r="E966">
        <v>5.3</v>
      </c>
      <c r="F966">
        <v>8</v>
      </c>
      <c r="G966" t="s">
        <v>42</v>
      </c>
      <c r="H966" t="s">
        <v>143</v>
      </c>
      <c r="I966">
        <v>18.3</v>
      </c>
      <c r="J966">
        <v>14.2</v>
      </c>
      <c r="K966">
        <v>16.5</v>
      </c>
      <c r="L966">
        <v>17</v>
      </c>
      <c r="M966">
        <v>380</v>
      </c>
      <c r="O966">
        <f t="shared" si="30"/>
        <v>2014</v>
      </c>
      <c r="P966">
        <f t="shared" si="31"/>
        <v>28.09</v>
      </c>
    </row>
    <row r="967" spans="1:16" x14ac:dyDescent="0.25">
      <c r="A967">
        <v>2014</v>
      </c>
      <c r="B967" t="s">
        <v>308</v>
      </c>
      <c r="C967" t="s">
        <v>315</v>
      </c>
      <c r="D967" t="s">
        <v>193</v>
      </c>
      <c r="E967">
        <v>5.3</v>
      </c>
      <c r="F967">
        <v>8</v>
      </c>
      <c r="G967" t="s">
        <v>42</v>
      </c>
      <c r="H967" t="s">
        <v>143</v>
      </c>
      <c r="I967">
        <v>18.600000000000001</v>
      </c>
      <c r="J967">
        <v>13.9</v>
      </c>
      <c r="K967">
        <v>16.5</v>
      </c>
      <c r="L967">
        <v>17</v>
      </c>
      <c r="M967">
        <v>380</v>
      </c>
      <c r="O967">
        <f t="shared" si="30"/>
        <v>2014</v>
      </c>
      <c r="P967">
        <f t="shared" si="31"/>
        <v>28.09</v>
      </c>
    </row>
    <row r="968" spans="1:16" x14ac:dyDescent="0.25">
      <c r="A968">
        <v>2014</v>
      </c>
      <c r="B968" t="s">
        <v>308</v>
      </c>
      <c r="C968" t="s">
        <v>316</v>
      </c>
      <c r="D968" t="s">
        <v>193</v>
      </c>
      <c r="E968">
        <v>5.3</v>
      </c>
      <c r="F968">
        <v>8</v>
      </c>
      <c r="G968" t="s">
        <v>42</v>
      </c>
      <c r="H968" t="s">
        <v>143</v>
      </c>
      <c r="I968">
        <v>18.3</v>
      </c>
      <c r="J968">
        <v>14.2</v>
      </c>
      <c r="K968">
        <v>16.5</v>
      </c>
      <c r="L968">
        <v>17</v>
      </c>
      <c r="M968">
        <v>380</v>
      </c>
      <c r="O968">
        <f t="shared" si="30"/>
        <v>2014</v>
      </c>
      <c r="P968">
        <f t="shared" si="31"/>
        <v>28.09</v>
      </c>
    </row>
    <row r="969" spans="1:16" x14ac:dyDescent="0.25">
      <c r="A969">
        <v>2014</v>
      </c>
      <c r="B969" t="s">
        <v>450</v>
      </c>
      <c r="C969" t="s">
        <v>470</v>
      </c>
      <c r="D969" t="s">
        <v>64</v>
      </c>
      <c r="E969">
        <v>5.7</v>
      </c>
      <c r="F969">
        <v>8</v>
      </c>
      <c r="G969" t="s">
        <v>23</v>
      </c>
      <c r="H969" t="s">
        <v>17</v>
      </c>
      <c r="I969">
        <v>18.8</v>
      </c>
      <c r="J969">
        <v>13.6</v>
      </c>
      <c r="K969">
        <v>16.5</v>
      </c>
      <c r="L969">
        <v>17</v>
      </c>
      <c r="M969">
        <v>380</v>
      </c>
      <c r="O969">
        <f t="shared" si="30"/>
        <v>2166</v>
      </c>
      <c r="P969">
        <f t="shared" si="31"/>
        <v>32.49</v>
      </c>
    </row>
    <row r="970" spans="1:16" x14ac:dyDescent="0.25">
      <c r="A970">
        <v>2014</v>
      </c>
      <c r="B970" t="s">
        <v>506</v>
      </c>
      <c r="C970" t="s">
        <v>560</v>
      </c>
      <c r="D970" t="s">
        <v>37</v>
      </c>
      <c r="E970">
        <v>6.2</v>
      </c>
      <c r="F970">
        <v>8</v>
      </c>
      <c r="G970" t="s">
        <v>360</v>
      </c>
      <c r="H970" t="s">
        <v>17</v>
      </c>
      <c r="I970">
        <v>18.7</v>
      </c>
      <c r="J970">
        <v>13.9</v>
      </c>
      <c r="K970">
        <v>16.5</v>
      </c>
      <c r="L970">
        <v>17</v>
      </c>
      <c r="M970">
        <v>380</v>
      </c>
      <c r="O970">
        <f t="shared" si="30"/>
        <v>2356</v>
      </c>
      <c r="P970">
        <f t="shared" si="31"/>
        <v>38.440000000000005</v>
      </c>
    </row>
    <row r="971" spans="1:16" x14ac:dyDescent="0.25">
      <c r="A971">
        <v>2014</v>
      </c>
      <c r="B971" t="s">
        <v>593</v>
      </c>
      <c r="C971" t="s">
        <v>597</v>
      </c>
      <c r="D971" t="s">
        <v>64</v>
      </c>
      <c r="E971">
        <v>5.6</v>
      </c>
      <c r="F971">
        <v>8</v>
      </c>
      <c r="G971" t="s">
        <v>224</v>
      </c>
      <c r="H971" t="s">
        <v>143</v>
      </c>
      <c r="I971">
        <v>19.100000000000001</v>
      </c>
      <c r="J971">
        <v>13.4</v>
      </c>
      <c r="K971">
        <v>16.5</v>
      </c>
      <c r="L971">
        <v>17</v>
      </c>
      <c r="M971">
        <v>380</v>
      </c>
      <c r="O971">
        <f t="shared" si="30"/>
        <v>2128</v>
      </c>
      <c r="P971">
        <f t="shared" si="31"/>
        <v>31.359999999999996</v>
      </c>
    </row>
    <row r="972" spans="1:16" x14ac:dyDescent="0.25">
      <c r="A972">
        <v>2014</v>
      </c>
      <c r="B972" t="s">
        <v>155</v>
      </c>
      <c r="C972" t="s">
        <v>165</v>
      </c>
      <c r="D972" t="s">
        <v>26</v>
      </c>
      <c r="E972">
        <v>6.2</v>
      </c>
      <c r="F972">
        <v>8</v>
      </c>
      <c r="G972" t="s">
        <v>23</v>
      </c>
      <c r="H972" t="s">
        <v>17</v>
      </c>
      <c r="I972">
        <v>19.7</v>
      </c>
      <c r="J972">
        <v>12.9</v>
      </c>
      <c r="K972">
        <v>16.600000000000001</v>
      </c>
      <c r="L972">
        <v>17</v>
      </c>
      <c r="M972">
        <v>382</v>
      </c>
      <c r="O972">
        <f t="shared" si="30"/>
        <v>2368.4</v>
      </c>
      <c r="P972">
        <f t="shared" si="31"/>
        <v>38.440000000000005</v>
      </c>
    </row>
    <row r="973" spans="1:16" x14ac:dyDescent="0.25">
      <c r="A973">
        <v>2014</v>
      </c>
      <c r="B973" t="s">
        <v>155</v>
      </c>
      <c r="C973" t="s">
        <v>166</v>
      </c>
      <c r="D973" t="s">
        <v>26</v>
      </c>
      <c r="E973">
        <v>6.2</v>
      </c>
      <c r="F973">
        <v>8</v>
      </c>
      <c r="G973" t="s">
        <v>23</v>
      </c>
      <c r="H973" t="s">
        <v>17</v>
      </c>
      <c r="I973">
        <v>19.7</v>
      </c>
      <c r="J973">
        <v>12.9</v>
      </c>
      <c r="K973">
        <v>16.600000000000001</v>
      </c>
      <c r="L973">
        <v>17</v>
      </c>
      <c r="M973">
        <v>382</v>
      </c>
      <c r="O973">
        <f t="shared" si="30"/>
        <v>2368.4</v>
      </c>
      <c r="P973">
        <f t="shared" si="31"/>
        <v>38.440000000000005</v>
      </c>
    </row>
    <row r="974" spans="1:16" x14ac:dyDescent="0.25">
      <c r="A974">
        <v>2014</v>
      </c>
      <c r="B974" t="s">
        <v>155</v>
      </c>
      <c r="C974" t="s">
        <v>167</v>
      </c>
      <c r="D974" t="s">
        <v>59</v>
      </c>
      <c r="E974">
        <v>6.2</v>
      </c>
      <c r="F974">
        <v>8</v>
      </c>
      <c r="G974" t="s">
        <v>23</v>
      </c>
      <c r="H974" t="s">
        <v>17</v>
      </c>
      <c r="I974">
        <v>19.7</v>
      </c>
      <c r="J974">
        <v>12.9</v>
      </c>
      <c r="K974">
        <v>16.600000000000001</v>
      </c>
      <c r="L974">
        <v>17</v>
      </c>
      <c r="M974">
        <v>382</v>
      </c>
      <c r="O974">
        <f t="shared" si="30"/>
        <v>2368.4</v>
      </c>
      <c r="P974">
        <f t="shared" si="31"/>
        <v>38.440000000000005</v>
      </c>
    </row>
    <row r="975" spans="1:16" x14ac:dyDescent="0.25">
      <c r="A975">
        <v>2014</v>
      </c>
      <c r="B975" t="s">
        <v>175</v>
      </c>
      <c r="C975" t="s">
        <v>179</v>
      </c>
      <c r="D975" t="s">
        <v>15</v>
      </c>
      <c r="E975">
        <v>6.2</v>
      </c>
      <c r="F975">
        <v>8</v>
      </c>
      <c r="G975" t="s">
        <v>23</v>
      </c>
      <c r="H975" t="s">
        <v>17</v>
      </c>
      <c r="I975">
        <v>19.7</v>
      </c>
      <c r="J975">
        <v>12.9</v>
      </c>
      <c r="K975">
        <v>16.600000000000001</v>
      </c>
      <c r="L975">
        <v>17</v>
      </c>
      <c r="M975">
        <v>382</v>
      </c>
      <c r="O975">
        <f t="shared" si="30"/>
        <v>2368.4</v>
      </c>
      <c r="P975">
        <f t="shared" si="31"/>
        <v>38.440000000000005</v>
      </c>
    </row>
    <row r="976" spans="1:16" x14ac:dyDescent="0.25">
      <c r="A976">
        <v>2014</v>
      </c>
      <c r="B976" t="s">
        <v>265</v>
      </c>
      <c r="C976" t="s">
        <v>279</v>
      </c>
      <c r="D976" t="s">
        <v>64</v>
      </c>
      <c r="E976">
        <v>3.5</v>
      </c>
      <c r="F976">
        <v>6</v>
      </c>
      <c r="G976" t="s">
        <v>23</v>
      </c>
      <c r="H976" t="s">
        <v>148</v>
      </c>
      <c r="I976">
        <v>18.899999999999999</v>
      </c>
      <c r="J976">
        <v>13.9</v>
      </c>
      <c r="K976">
        <v>16.7</v>
      </c>
      <c r="L976">
        <v>17</v>
      </c>
      <c r="M976">
        <v>267</v>
      </c>
      <c r="O976">
        <f t="shared" si="30"/>
        <v>934.5</v>
      </c>
      <c r="P976">
        <f t="shared" si="31"/>
        <v>12.25</v>
      </c>
    </row>
    <row r="977" spans="1:16" x14ac:dyDescent="0.25">
      <c r="A977">
        <v>2014</v>
      </c>
      <c r="B977" t="s">
        <v>691</v>
      </c>
      <c r="C977" t="s">
        <v>713</v>
      </c>
      <c r="D977" t="s">
        <v>64</v>
      </c>
      <c r="E977">
        <v>5.7</v>
      </c>
      <c r="F977">
        <v>8</v>
      </c>
      <c r="G977" t="s">
        <v>23</v>
      </c>
      <c r="H977" t="s">
        <v>143</v>
      </c>
      <c r="I977">
        <v>19</v>
      </c>
      <c r="J977">
        <v>13.9</v>
      </c>
      <c r="K977">
        <v>16.7</v>
      </c>
      <c r="L977">
        <v>17</v>
      </c>
      <c r="M977">
        <v>384</v>
      </c>
      <c r="O977">
        <f t="shared" si="30"/>
        <v>2188.8000000000002</v>
      </c>
      <c r="P977">
        <f t="shared" si="31"/>
        <v>32.49</v>
      </c>
    </row>
    <row r="978" spans="1:16" x14ac:dyDescent="0.25">
      <c r="A978">
        <v>2014</v>
      </c>
      <c r="B978" t="s">
        <v>175</v>
      </c>
      <c r="C978" t="s">
        <v>201</v>
      </c>
      <c r="D978" t="s">
        <v>202</v>
      </c>
      <c r="E978">
        <v>4.3</v>
      </c>
      <c r="F978">
        <v>6</v>
      </c>
      <c r="G978" t="s">
        <v>33</v>
      </c>
      <c r="H978" t="s">
        <v>148</v>
      </c>
      <c r="I978">
        <v>18.899999999999999</v>
      </c>
      <c r="J978">
        <v>14.2</v>
      </c>
      <c r="K978">
        <v>16.8</v>
      </c>
      <c r="L978">
        <v>17</v>
      </c>
      <c r="M978">
        <v>269</v>
      </c>
      <c r="O978">
        <f t="shared" si="30"/>
        <v>1156.7</v>
      </c>
      <c r="P978">
        <f t="shared" si="31"/>
        <v>18.489999999999998</v>
      </c>
    </row>
    <row r="979" spans="1:16" x14ac:dyDescent="0.25">
      <c r="A979">
        <v>2014</v>
      </c>
      <c r="B979" t="s">
        <v>218</v>
      </c>
      <c r="C979" t="s">
        <v>230</v>
      </c>
      <c r="D979" t="s">
        <v>231</v>
      </c>
      <c r="E979">
        <v>3.6</v>
      </c>
      <c r="F979">
        <v>6</v>
      </c>
      <c r="G979" t="s">
        <v>33</v>
      </c>
      <c r="H979" t="s">
        <v>148</v>
      </c>
      <c r="I979">
        <v>19.7</v>
      </c>
      <c r="J979">
        <v>13.3</v>
      </c>
      <c r="K979">
        <v>16.8</v>
      </c>
      <c r="L979">
        <v>17</v>
      </c>
      <c r="M979">
        <v>269</v>
      </c>
      <c r="O979">
        <f t="shared" si="30"/>
        <v>968.4</v>
      </c>
      <c r="P979">
        <f t="shared" si="31"/>
        <v>12.96</v>
      </c>
    </row>
    <row r="980" spans="1:16" x14ac:dyDescent="0.25">
      <c r="A980">
        <v>2014</v>
      </c>
      <c r="B980" t="s">
        <v>265</v>
      </c>
      <c r="C980" t="s">
        <v>268</v>
      </c>
      <c r="D980" t="s">
        <v>193</v>
      </c>
      <c r="E980">
        <v>4.5999999999999996</v>
      </c>
      <c r="F980">
        <v>8</v>
      </c>
      <c r="G980" t="s">
        <v>42</v>
      </c>
      <c r="H980" t="s">
        <v>143</v>
      </c>
      <c r="I980">
        <v>18.600000000000001</v>
      </c>
      <c r="J980">
        <v>14.6</v>
      </c>
      <c r="K980">
        <v>16.8</v>
      </c>
      <c r="L980">
        <v>17</v>
      </c>
      <c r="M980">
        <v>386</v>
      </c>
      <c r="O980">
        <f t="shared" si="30"/>
        <v>1775.6</v>
      </c>
      <c r="P980">
        <f t="shared" si="31"/>
        <v>21.159999999999997</v>
      </c>
    </row>
    <row r="981" spans="1:16" x14ac:dyDescent="0.25">
      <c r="A981">
        <v>2014</v>
      </c>
      <c r="B981" t="s">
        <v>308</v>
      </c>
      <c r="C981" t="s">
        <v>319</v>
      </c>
      <c r="D981" t="s">
        <v>202</v>
      </c>
      <c r="E981">
        <v>4.3</v>
      </c>
      <c r="F981">
        <v>6</v>
      </c>
      <c r="G981" t="s">
        <v>33</v>
      </c>
      <c r="H981" t="s">
        <v>148</v>
      </c>
      <c r="I981">
        <v>18.899999999999999</v>
      </c>
      <c r="J981">
        <v>14.2</v>
      </c>
      <c r="K981">
        <v>16.8</v>
      </c>
      <c r="L981">
        <v>17</v>
      </c>
      <c r="M981">
        <v>269</v>
      </c>
      <c r="O981">
        <f t="shared" si="30"/>
        <v>1156.7</v>
      </c>
      <c r="P981">
        <f t="shared" si="31"/>
        <v>18.489999999999998</v>
      </c>
    </row>
    <row r="982" spans="1:16" x14ac:dyDescent="0.25">
      <c r="A982">
        <v>2014</v>
      </c>
      <c r="B982" t="s">
        <v>650</v>
      </c>
      <c r="C982" t="s">
        <v>656</v>
      </c>
      <c r="D982" t="s">
        <v>202</v>
      </c>
      <c r="E982">
        <v>3.6</v>
      </c>
      <c r="F982">
        <v>6</v>
      </c>
      <c r="G982" t="s">
        <v>53</v>
      </c>
      <c r="H982" t="s">
        <v>148</v>
      </c>
      <c r="I982">
        <v>19.399999999999999</v>
      </c>
      <c r="J982">
        <v>13.6</v>
      </c>
      <c r="K982">
        <v>16.8</v>
      </c>
      <c r="L982">
        <v>17</v>
      </c>
      <c r="M982">
        <v>269</v>
      </c>
      <c r="O982">
        <f t="shared" si="30"/>
        <v>968.4</v>
      </c>
      <c r="P982">
        <f t="shared" si="31"/>
        <v>12.96</v>
      </c>
    </row>
    <row r="983" spans="1:16" x14ac:dyDescent="0.25">
      <c r="A983">
        <v>2014</v>
      </c>
      <c r="B983" t="s">
        <v>175</v>
      </c>
      <c r="C983" t="s">
        <v>201</v>
      </c>
      <c r="D983" t="s">
        <v>202</v>
      </c>
      <c r="E983">
        <v>5.3</v>
      </c>
      <c r="F983">
        <v>8</v>
      </c>
      <c r="G983" t="s">
        <v>33</v>
      </c>
      <c r="H983" t="s">
        <v>148</v>
      </c>
      <c r="I983">
        <v>19.5</v>
      </c>
      <c r="J983">
        <v>13.7</v>
      </c>
      <c r="K983">
        <v>16.899999999999999</v>
      </c>
      <c r="L983">
        <v>17</v>
      </c>
      <c r="M983">
        <v>270</v>
      </c>
      <c r="O983">
        <f t="shared" si="30"/>
        <v>1431</v>
      </c>
      <c r="P983">
        <f t="shared" si="31"/>
        <v>28.09</v>
      </c>
    </row>
    <row r="984" spans="1:16" x14ac:dyDescent="0.25">
      <c r="A984">
        <v>2014</v>
      </c>
      <c r="B984" t="s">
        <v>308</v>
      </c>
      <c r="C984" t="s">
        <v>319</v>
      </c>
      <c r="D984" t="s">
        <v>202</v>
      </c>
      <c r="E984">
        <v>5.3</v>
      </c>
      <c r="F984">
        <v>8</v>
      </c>
      <c r="G984" t="s">
        <v>33</v>
      </c>
      <c r="H984" t="s">
        <v>148</v>
      </c>
      <c r="I984">
        <v>19.5</v>
      </c>
      <c r="J984">
        <v>13.7</v>
      </c>
      <c r="K984">
        <v>16.899999999999999</v>
      </c>
      <c r="L984">
        <v>17</v>
      </c>
      <c r="M984">
        <v>270</v>
      </c>
      <c r="O984">
        <f t="shared" si="30"/>
        <v>1431</v>
      </c>
      <c r="P984">
        <f t="shared" si="31"/>
        <v>28.09</v>
      </c>
    </row>
    <row r="985" spans="1:16" x14ac:dyDescent="0.25">
      <c r="A985">
        <v>2014</v>
      </c>
      <c r="B985" t="s">
        <v>678</v>
      </c>
      <c r="C985" t="s">
        <v>679</v>
      </c>
      <c r="D985" t="s">
        <v>37</v>
      </c>
      <c r="E985">
        <v>8.4</v>
      </c>
      <c r="F985">
        <v>10</v>
      </c>
      <c r="G985" t="s">
        <v>18</v>
      </c>
      <c r="H985" t="s">
        <v>17</v>
      </c>
      <c r="I985">
        <v>20</v>
      </c>
      <c r="J985">
        <v>13</v>
      </c>
      <c r="K985">
        <v>16.899999999999999</v>
      </c>
      <c r="L985">
        <v>17</v>
      </c>
      <c r="M985">
        <v>389</v>
      </c>
      <c r="O985">
        <f t="shared" si="30"/>
        <v>3267.6000000000004</v>
      </c>
      <c r="P985">
        <f t="shared" si="31"/>
        <v>70.56</v>
      </c>
    </row>
    <row r="986" spans="1:16" x14ac:dyDescent="0.25">
      <c r="A986">
        <v>2014</v>
      </c>
      <c r="B986" t="s">
        <v>678</v>
      </c>
      <c r="C986" t="s">
        <v>680</v>
      </c>
      <c r="D986" t="s">
        <v>37</v>
      </c>
      <c r="E986">
        <v>8.4</v>
      </c>
      <c r="F986">
        <v>10</v>
      </c>
      <c r="G986" t="s">
        <v>18</v>
      </c>
      <c r="H986" t="s">
        <v>17</v>
      </c>
      <c r="I986">
        <v>20</v>
      </c>
      <c r="J986">
        <v>13</v>
      </c>
      <c r="K986">
        <v>16.899999999999999</v>
      </c>
      <c r="L986">
        <v>17</v>
      </c>
      <c r="M986">
        <v>389</v>
      </c>
      <c r="O986">
        <f t="shared" si="30"/>
        <v>3267.6000000000004</v>
      </c>
      <c r="P986">
        <f t="shared" si="31"/>
        <v>70.56</v>
      </c>
    </row>
    <row r="987" spans="1:16" x14ac:dyDescent="0.25">
      <c r="A987">
        <v>2014</v>
      </c>
      <c r="B987" t="s">
        <v>175</v>
      </c>
      <c r="C987" t="s">
        <v>186</v>
      </c>
      <c r="D987" t="s">
        <v>22</v>
      </c>
      <c r="E987">
        <v>3.6</v>
      </c>
      <c r="F987">
        <v>6</v>
      </c>
      <c r="G987" t="s">
        <v>33</v>
      </c>
      <c r="H987" t="s">
        <v>148</v>
      </c>
      <c r="I987">
        <v>19.8</v>
      </c>
      <c r="J987">
        <v>13.6</v>
      </c>
      <c r="K987">
        <v>17</v>
      </c>
      <c r="L987">
        <v>17</v>
      </c>
      <c r="M987">
        <v>272</v>
      </c>
      <c r="O987">
        <f t="shared" si="30"/>
        <v>979.2</v>
      </c>
      <c r="P987">
        <f t="shared" si="31"/>
        <v>12.96</v>
      </c>
    </row>
    <row r="988" spans="1:16" x14ac:dyDescent="0.25">
      <c r="A988">
        <v>2014</v>
      </c>
      <c r="B988" t="s">
        <v>308</v>
      </c>
      <c r="C988" t="s">
        <v>322</v>
      </c>
      <c r="D988" t="s">
        <v>22</v>
      </c>
      <c r="E988">
        <v>3.6</v>
      </c>
      <c r="F988">
        <v>6</v>
      </c>
      <c r="G988" t="s">
        <v>33</v>
      </c>
      <c r="H988" t="s">
        <v>148</v>
      </c>
      <c r="I988">
        <v>19.8</v>
      </c>
      <c r="J988">
        <v>13.6</v>
      </c>
      <c r="K988">
        <v>17</v>
      </c>
      <c r="L988">
        <v>17</v>
      </c>
      <c r="M988">
        <v>272</v>
      </c>
      <c r="O988">
        <f t="shared" si="30"/>
        <v>979.2</v>
      </c>
      <c r="P988">
        <f t="shared" si="31"/>
        <v>12.96</v>
      </c>
    </row>
    <row r="989" spans="1:16" x14ac:dyDescent="0.25">
      <c r="A989">
        <v>2014</v>
      </c>
      <c r="B989" t="s">
        <v>659</v>
      </c>
      <c r="C989" t="s">
        <v>662</v>
      </c>
      <c r="D989" t="s">
        <v>56</v>
      </c>
      <c r="E989">
        <v>6.7</v>
      </c>
      <c r="F989">
        <v>12</v>
      </c>
      <c r="G989" t="s">
        <v>53</v>
      </c>
      <c r="H989" t="s">
        <v>17</v>
      </c>
      <c r="I989">
        <v>20.7</v>
      </c>
      <c r="J989">
        <v>12.8</v>
      </c>
      <c r="K989">
        <v>17.100000000000001</v>
      </c>
      <c r="L989">
        <v>17</v>
      </c>
      <c r="M989">
        <v>393</v>
      </c>
      <c r="O989">
        <f t="shared" si="30"/>
        <v>2633.1</v>
      </c>
      <c r="P989">
        <f t="shared" si="31"/>
        <v>44.89</v>
      </c>
    </row>
    <row r="990" spans="1:16" x14ac:dyDescent="0.25">
      <c r="A990">
        <v>2014</v>
      </c>
      <c r="B990" t="s">
        <v>659</v>
      </c>
      <c r="C990" t="s">
        <v>663</v>
      </c>
      <c r="D990" t="s">
        <v>15</v>
      </c>
      <c r="E990">
        <v>6.7</v>
      </c>
      <c r="F990">
        <v>12</v>
      </c>
      <c r="G990" t="s">
        <v>53</v>
      </c>
      <c r="H990" t="s">
        <v>17</v>
      </c>
      <c r="I990">
        <v>20.7</v>
      </c>
      <c r="J990">
        <v>12.8</v>
      </c>
      <c r="K990">
        <v>17.100000000000001</v>
      </c>
      <c r="L990">
        <v>17</v>
      </c>
      <c r="M990">
        <v>393</v>
      </c>
      <c r="O990">
        <f t="shared" si="30"/>
        <v>2633.1</v>
      </c>
      <c r="P990">
        <f t="shared" si="31"/>
        <v>44.89</v>
      </c>
    </row>
    <row r="991" spans="1:16" x14ac:dyDescent="0.25">
      <c r="A991">
        <v>2014</v>
      </c>
      <c r="B991" t="s">
        <v>659</v>
      </c>
      <c r="C991" t="s">
        <v>664</v>
      </c>
      <c r="D991" t="s">
        <v>15</v>
      </c>
      <c r="E991">
        <v>6.7</v>
      </c>
      <c r="F991">
        <v>12</v>
      </c>
      <c r="G991" t="s">
        <v>53</v>
      </c>
      <c r="H991" t="s">
        <v>17</v>
      </c>
      <c r="I991">
        <v>20.7</v>
      </c>
      <c r="J991">
        <v>12.7</v>
      </c>
      <c r="K991">
        <v>17.100000000000001</v>
      </c>
      <c r="L991">
        <v>17</v>
      </c>
      <c r="M991">
        <v>393</v>
      </c>
      <c r="O991">
        <f t="shared" si="30"/>
        <v>2633.1</v>
      </c>
      <c r="P991">
        <f t="shared" si="31"/>
        <v>44.89</v>
      </c>
    </row>
    <row r="992" spans="1:16" x14ac:dyDescent="0.25">
      <c r="A992">
        <v>2014</v>
      </c>
      <c r="B992" t="s">
        <v>659</v>
      </c>
      <c r="C992" t="s">
        <v>665</v>
      </c>
      <c r="D992" t="s">
        <v>56</v>
      </c>
      <c r="E992">
        <v>6.7</v>
      </c>
      <c r="F992">
        <v>12</v>
      </c>
      <c r="G992" t="s">
        <v>53</v>
      </c>
      <c r="H992" t="s">
        <v>17</v>
      </c>
      <c r="I992">
        <v>20.7</v>
      </c>
      <c r="J992">
        <v>12.7</v>
      </c>
      <c r="K992">
        <v>17.100000000000001</v>
      </c>
      <c r="L992">
        <v>17</v>
      </c>
      <c r="M992">
        <v>393</v>
      </c>
      <c r="O992">
        <f t="shared" si="30"/>
        <v>2633.1</v>
      </c>
      <c r="P992">
        <f t="shared" si="31"/>
        <v>44.89</v>
      </c>
    </row>
    <row r="993" spans="1:16" x14ac:dyDescent="0.25">
      <c r="A993">
        <v>2014</v>
      </c>
      <c r="B993" t="s">
        <v>265</v>
      </c>
      <c r="C993" t="s">
        <v>267</v>
      </c>
      <c r="D993" t="s">
        <v>188</v>
      </c>
      <c r="E993">
        <v>5.4</v>
      </c>
      <c r="F993">
        <v>8</v>
      </c>
      <c r="G993" t="s">
        <v>42</v>
      </c>
      <c r="H993" t="s">
        <v>143</v>
      </c>
      <c r="I993">
        <v>19.3</v>
      </c>
      <c r="J993">
        <v>14.7</v>
      </c>
      <c r="K993">
        <v>17.2</v>
      </c>
      <c r="L993">
        <v>16</v>
      </c>
      <c r="M993">
        <v>396</v>
      </c>
      <c r="O993">
        <f t="shared" si="30"/>
        <v>2138.4</v>
      </c>
      <c r="P993">
        <f t="shared" si="31"/>
        <v>29.160000000000004</v>
      </c>
    </row>
    <row r="994" spans="1:16" x14ac:dyDescent="0.25">
      <c r="A994">
        <v>2014</v>
      </c>
      <c r="B994" t="s">
        <v>175</v>
      </c>
      <c r="C994" t="s">
        <v>203</v>
      </c>
      <c r="D994" t="s">
        <v>202</v>
      </c>
      <c r="E994">
        <v>5.3</v>
      </c>
      <c r="F994">
        <v>8</v>
      </c>
      <c r="G994" t="s">
        <v>33</v>
      </c>
      <c r="H994" t="s">
        <v>148</v>
      </c>
      <c r="I994">
        <v>19.899999999999999</v>
      </c>
      <c r="J994">
        <v>14.2</v>
      </c>
      <c r="K994">
        <v>17.3</v>
      </c>
      <c r="L994">
        <v>16</v>
      </c>
      <c r="M994">
        <v>277</v>
      </c>
      <c r="O994">
        <f t="shared" si="30"/>
        <v>1468.1</v>
      </c>
      <c r="P994">
        <f t="shared" si="31"/>
        <v>28.09</v>
      </c>
    </row>
    <row r="995" spans="1:16" x14ac:dyDescent="0.25">
      <c r="A995">
        <v>2014</v>
      </c>
      <c r="B995" t="s">
        <v>308</v>
      </c>
      <c r="C995" t="s">
        <v>320</v>
      </c>
      <c r="D995" t="s">
        <v>202</v>
      </c>
      <c r="E995">
        <v>5.3</v>
      </c>
      <c r="F995">
        <v>8</v>
      </c>
      <c r="G995" t="s">
        <v>33</v>
      </c>
      <c r="H995" t="s">
        <v>148</v>
      </c>
      <c r="I995">
        <v>19.899999999999999</v>
      </c>
      <c r="J995">
        <v>14.2</v>
      </c>
      <c r="K995">
        <v>17.3</v>
      </c>
      <c r="L995">
        <v>16</v>
      </c>
      <c r="M995">
        <v>277</v>
      </c>
      <c r="O995">
        <f t="shared" si="30"/>
        <v>1468.1</v>
      </c>
      <c r="P995">
        <f t="shared" si="31"/>
        <v>28.09</v>
      </c>
    </row>
    <row r="996" spans="1:16" x14ac:dyDescent="0.25">
      <c r="A996">
        <v>2014</v>
      </c>
      <c r="B996" t="s">
        <v>434</v>
      </c>
      <c r="C996" t="s">
        <v>447</v>
      </c>
      <c r="D996" t="s">
        <v>64</v>
      </c>
      <c r="E996">
        <v>3</v>
      </c>
      <c r="F996">
        <v>6</v>
      </c>
      <c r="G996" t="s">
        <v>45</v>
      </c>
      <c r="H996" t="s">
        <v>148</v>
      </c>
      <c r="I996">
        <v>19.399999999999999</v>
      </c>
      <c r="J996">
        <v>14.8</v>
      </c>
      <c r="K996">
        <v>17.3</v>
      </c>
      <c r="L996">
        <v>16</v>
      </c>
      <c r="M996">
        <v>277</v>
      </c>
      <c r="O996">
        <f t="shared" si="30"/>
        <v>831</v>
      </c>
      <c r="P996">
        <f t="shared" si="31"/>
        <v>9</v>
      </c>
    </row>
    <row r="997" spans="1:16" x14ac:dyDescent="0.25">
      <c r="A997">
        <v>2014</v>
      </c>
      <c r="B997" t="s">
        <v>593</v>
      </c>
      <c r="C997" t="s">
        <v>615</v>
      </c>
      <c r="D997" t="s">
        <v>202</v>
      </c>
      <c r="E997">
        <v>5.6</v>
      </c>
      <c r="F997">
        <v>8</v>
      </c>
      <c r="G997" t="s">
        <v>224</v>
      </c>
      <c r="H997" t="s">
        <v>143</v>
      </c>
      <c r="I997">
        <v>19.7</v>
      </c>
      <c r="J997">
        <v>14.3</v>
      </c>
      <c r="K997">
        <v>17.3</v>
      </c>
      <c r="L997">
        <v>16</v>
      </c>
      <c r="M997">
        <v>398</v>
      </c>
      <c r="O997">
        <f t="shared" si="30"/>
        <v>2228.7999999999997</v>
      </c>
      <c r="P997">
        <f t="shared" si="31"/>
        <v>31.359999999999996</v>
      </c>
    </row>
    <row r="998" spans="1:16" x14ac:dyDescent="0.25">
      <c r="A998">
        <v>2014</v>
      </c>
      <c r="B998" t="s">
        <v>431</v>
      </c>
      <c r="C998" t="s">
        <v>433</v>
      </c>
      <c r="D998" t="s">
        <v>37</v>
      </c>
      <c r="E998">
        <v>5.2</v>
      </c>
      <c r="F998">
        <v>10</v>
      </c>
      <c r="G998" t="s">
        <v>18</v>
      </c>
      <c r="H998" t="s">
        <v>17</v>
      </c>
      <c r="I998">
        <v>20.6</v>
      </c>
      <c r="J998">
        <v>13.5</v>
      </c>
      <c r="K998">
        <v>17.399999999999999</v>
      </c>
      <c r="L998">
        <v>16</v>
      </c>
      <c r="M998">
        <v>400</v>
      </c>
      <c r="O998">
        <f t="shared" si="30"/>
        <v>2080</v>
      </c>
      <c r="P998">
        <f t="shared" si="31"/>
        <v>27.040000000000003</v>
      </c>
    </row>
    <row r="999" spans="1:16" x14ac:dyDescent="0.25">
      <c r="A999">
        <v>2014</v>
      </c>
      <c r="B999" t="s">
        <v>434</v>
      </c>
      <c r="C999" t="s">
        <v>443</v>
      </c>
      <c r="D999" t="s">
        <v>64</v>
      </c>
      <c r="E999">
        <v>3</v>
      </c>
      <c r="F999">
        <v>6</v>
      </c>
      <c r="G999" t="s">
        <v>45</v>
      </c>
      <c r="H999" t="s">
        <v>148</v>
      </c>
      <c r="I999">
        <v>19.399999999999999</v>
      </c>
      <c r="J999">
        <v>14.9</v>
      </c>
      <c r="K999">
        <v>17.399999999999999</v>
      </c>
      <c r="L999">
        <v>16</v>
      </c>
      <c r="M999">
        <v>278</v>
      </c>
      <c r="O999">
        <f t="shared" si="30"/>
        <v>834</v>
      </c>
      <c r="P999">
        <f t="shared" si="31"/>
        <v>9</v>
      </c>
    </row>
    <row r="1000" spans="1:16" x14ac:dyDescent="0.25">
      <c r="A1000">
        <v>2014</v>
      </c>
      <c r="B1000" t="s">
        <v>265</v>
      </c>
      <c r="C1000" t="s">
        <v>281</v>
      </c>
      <c r="D1000" t="s">
        <v>202</v>
      </c>
      <c r="E1000">
        <v>6.2</v>
      </c>
      <c r="F1000">
        <v>8</v>
      </c>
      <c r="G1000" t="s">
        <v>23</v>
      </c>
      <c r="H1000" t="s">
        <v>143</v>
      </c>
      <c r="I1000">
        <v>20.100000000000001</v>
      </c>
      <c r="J1000">
        <v>14.4</v>
      </c>
      <c r="K1000">
        <v>17.5</v>
      </c>
      <c r="L1000">
        <v>16</v>
      </c>
      <c r="M1000">
        <v>402</v>
      </c>
      <c r="O1000">
        <f t="shared" si="30"/>
        <v>2492.4</v>
      </c>
      <c r="P1000">
        <f t="shared" si="31"/>
        <v>38.440000000000005</v>
      </c>
    </row>
    <row r="1001" spans="1:16" x14ac:dyDescent="0.25">
      <c r="A1001">
        <v>2014</v>
      </c>
      <c r="B1001" t="s">
        <v>376</v>
      </c>
      <c r="C1001" t="s">
        <v>385</v>
      </c>
      <c r="D1001" t="s">
        <v>56</v>
      </c>
      <c r="E1001">
        <v>5</v>
      </c>
      <c r="F1001">
        <v>8</v>
      </c>
      <c r="G1001" t="s">
        <v>45</v>
      </c>
      <c r="H1001" t="s">
        <v>148</v>
      </c>
      <c r="I1001">
        <v>20.6</v>
      </c>
      <c r="J1001">
        <v>13.6</v>
      </c>
      <c r="K1001">
        <v>17.5</v>
      </c>
      <c r="L1001">
        <v>16</v>
      </c>
      <c r="M1001">
        <v>280</v>
      </c>
      <c r="O1001">
        <f t="shared" si="30"/>
        <v>1400</v>
      </c>
      <c r="P1001">
        <f t="shared" si="31"/>
        <v>25</v>
      </c>
    </row>
    <row r="1002" spans="1:16" x14ac:dyDescent="0.25">
      <c r="A1002">
        <v>2014</v>
      </c>
      <c r="B1002" t="s">
        <v>376</v>
      </c>
      <c r="C1002" t="s">
        <v>387</v>
      </c>
      <c r="D1002" t="s">
        <v>56</v>
      </c>
      <c r="E1002">
        <v>5</v>
      </c>
      <c r="F1002">
        <v>8</v>
      </c>
      <c r="G1002" t="s">
        <v>45</v>
      </c>
      <c r="H1002" t="s">
        <v>148</v>
      </c>
      <c r="I1002">
        <v>20.6</v>
      </c>
      <c r="J1002">
        <v>13.6</v>
      </c>
      <c r="K1002">
        <v>17.5</v>
      </c>
      <c r="L1002">
        <v>16</v>
      </c>
      <c r="M1002">
        <v>280</v>
      </c>
      <c r="O1002">
        <f t="shared" si="30"/>
        <v>1400</v>
      </c>
      <c r="P1002">
        <f t="shared" si="31"/>
        <v>25</v>
      </c>
    </row>
    <row r="1003" spans="1:16" x14ac:dyDescent="0.25">
      <c r="A1003">
        <v>2014</v>
      </c>
      <c r="B1003" t="s">
        <v>41</v>
      </c>
      <c r="C1003" t="s">
        <v>66</v>
      </c>
      <c r="D1003" t="s">
        <v>37</v>
      </c>
      <c r="E1003">
        <v>4.2</v>
      </c>
      <c r="F1003">
        <v>8</v>
      </c>
      <c r="G1003" t="s">
        <v>18</v>
      </c>
      <c r="H1003" t="s">
        <v>17</v>
      </c>
      <c r="I1003">
        <v>21.2</v>
      </c>
      <c r="J1003">
        <v>13.4</v>
      </c>
      <c r="K1003">
        <v>17.7</v>
      </c>
      <c r="L1003">
        <v>16</v>
      </c>
      <c r="M1003">
        <v>407</v>
      </c>
      <c r="O1003">
        <f t="shared" si="30"/>
        <v>1709.4</v>
      </c>
      <c r="P1003">
        <f t="shared" si="31"/>
        <v>17.64</v>
      </c>
    </row>
    <row r="1004" spans="1:16" x14ac:dyDescent="0.25">
      <c r="A1004">
        <v>2014</v>
      </c>
      <c r="B1004" t="s">
        <v>41</v>
      </c>
      <c r="C1004" t="s">
        <v>68</v>
      </c>
      <c r="D1004" t="s">
        <v>37</v>
      </c>
      <c r="E1004">
        <v>4.2</v>
      </c>
      <c r="F1004">
        <v>8</v>
      </c>
      <c r="G1004" t="s">
        <v>18</v>
      </c>
      <c r="H1004" t="s">
        <v>17</v>
      </c>
      <c r="I1004">
        <v>21.2</v>
      </c>
      <c r="J1004">
        <v>13.4</v>
      </c>
      <c r="K1004">
        <v>17.7</v>
      </c>
      <c r="L1004">
        <v>16</v>
      </c>
      <c r="M1004">
        <v>407</v>
      </c>
      <c r="O1004">
        <f t="shared" si="30"/>
        <v>1709.4</v>
      </c>
      <c r="P1004">
        <f t="shared" si="31"/>
        <v>17.64</v>
      </c>
    </row>
    <row r="1005" spans="1:16" x14ac:dyDescent="0.25">
      <c r="A1005">
        <v>2014</v>
      </c>
      <c r="B1005" t="s">
        <v>506</v>
      </c>
      <c r="C1005" t="s">
        <v>540</v>
      </c>
      <c r="D1005" t="s">
        <v>64</v>
      </c>
      <c r="E1005">
        <v>5.5</v>
      </c>
      <c r="F1005">
        <v>8</v>
      </c>
      <c r="G1005" t="s">
        <v>360</v>
      </c>
      <c r="H1005" t="s">
        <v>17</v>
      </c>
      <c r="I1005">
        <v>19.399999999999999</v>
      </c>
      <c r="J1005">
        <v>15.7</v>
      </c>
      <c r="K1005">
        <v>17.7</v>
      </c>
      <c r="L1005">
        <v>16</v>
      </c>
      <c r="M1005">
        <v>407</v>
      </c>
      <c r="O1005">
        <f t="shared" si="30"/>
        <v>2238.5</v>
      </c>
      <c r="P1005">
        <f t="shared" si="31"/>
        <v>30.25</v>
      </c>
    </row>
    <row r="1006" spans="1:16" x14ac:dyDescent="0.25">
      <c r="A1006">
        <v>2014</v>
      </c>
      <c r="B1006" t="s">
        <v>41</v>
      </c>
      <c r="C1006" t="s">
        <v>66</v>
      </c>
      <c r="D1006" t="s">
        <v>37</v>
      </c>
      <c r="E1006">
        <v>5.2</v>
      </c>
      <c r="F1006">
        <v>10</v>
      </c>
      <c r="G1006" t="s">
        <v>18</v>
      </c>
      <c r="H1006" t="s">
        <v>17</v>
      </c>
      <c r="I1006">
        <v>21.1</v>
      </c>
      <c r="J1006">
        <v>13.8</v>
      </c>
      <c r="K1006">
        <v>17.8</v>
      </c>
      <c r="L1006">
        <v>16</v>
      </c>
      <c r="M1006">
        <v>409</v>
      </c>
      <c r="O1006">
        <f t="shared" si="30"/>
        <v>2126.8000000000002</v>
      </c>
      <c r="P1006">
        <f t="shared" si="31"/>
        <v>27.040000000000003</v>
      </c>
    </row>
    <row r="1007" spans="1:16" x14ac:dyDescent="0.25">
      <c r="A1007">
        <v>2014</v>
      </c>
      <c r="B1007" t="s">
        <v>41</v>
      </c>
      <c r="C1007" t="s">
        <v>68</v>
      </c>
      <c r="D1007" t="s">
        <v>37</v>
      </c>
      <c r="E1007">
        <v>5.2</v>
      </c>
      <c r="F1007">
        <v>10</v>
      </c>
      <c r="G1007" t="s">
        <v>18</v>
      </c>
      <c r="H1007" t="s">
        <v>17</v>
      </c>
      <c r="I1007">
        <v>21.1</v>
      </c>
      <c r="J1007">
        <v>13.8</v>
      </c>
      <c r="K1007">
        <v>17.8</v>
      </c>
      <c r="L1007">
        <v>16</v>
      </c>
      <c r="M1007">
        <v>409</v>
      </c>
      <c r="O1007">
        <f t="shared" si="30"/>
        <v>2126.8000000000002</v>
      </c>
      <c r="P1007">
        <f t="shared" si="31"/>
        <v>27.040000000000003</v>
      </c>
    </row>
    <row r="1008" spans="1:16" x14ac:dyDescent="0.25">
      <c r="A1008">
        <v>2014</v>
      </c>
      <c r="B1008" t="s">
        <v>175</v>
      </c>
      <c r="C1008" t="s">
        <v>203</v>
      </c>
      <c r="D1008" t="s">
        <v>202</v>
      </c>
      <c r="E1008">
        <v>4.3</v>
      </c>
      <c r="F1008">
        <v>6</v>
      </c>
      <c r="G1008" t="s">
        <v>33</v>
      </c>
      <c r="H1008" t="s">
        <v>148</v>
      </c>
      <c r="I1008">
        <v>20</v>
      </c>
      <c r="J1008">
        <v>15.1</v>
      </c>
      <c r="K1008">
        <v>17.8</v>
      </c>
      <c r="L1008">
        <v>16</v>
      </c>
      <c r="M1008">
        <v>285</v>
      </c>
      <c r="O1008">
        <f t="shared" si="30"/>
        <v>1225.5</v>
      </c>
      <c r="P1008">
        <f t="shared" si="31"/>
        <v>18.489999999999998</v>
      </c>
    </row>
    <row r="1009" spans="1:16" x14ac:dyDescent="0.25">
      <c r="A1009">
        <v>2014</v>
      </c>
      <c r="B1009" t="s">
        <v>308</v>
      </c>
      <c r="C1009" t="s">
        <v>320</v>
      </c>
      <c r="D1009" t="s">
        <v>202</v>
      </c>
      <c r="E1009">
        <v>4.3</v>
      </c>
      <c r="F1009">
        <v>6</v>
      </c>
      <c r="G1009" t="s">
        <v>33</v>
      </c>
      <c r="H1009" t="s">
        <v>148</v>
      </c>
      <c r="I1009">
        <v>20</v>
      </c>
      <c r="J1009">
        <v>15.1</v>
      </c>
      <c r="K1009">
        <v>17.8</v>
      </c>
      <c r="L1009">
        <v>16</v>
      </c>
      <c r="M1009">
        <v>285</v>
      </c>
      <c r="O1009">
        <f t="shared" si="30"/>
        <v>1225.5</v>
      </c>
      <c r="P1009">
        <f t="shared" si="31"/>
        <v>18.489999999999998</v>
      </c>
    </row>
    <row r="1010" spans="1:16" x14ac:dyDescent="0.25">
      <c r="A1010">
        <v>2014</v>
      </c>
      <c r="B1010" t="s">
        <v>650</v>
      </c>
      <c r="C1010" t="s">
        <v>654</v>
      </c>
      <c r="D1010" t="s">
        <v>202</v>
      </c>
      <c r="E1010">
        <v>3.6</v>
      </c>
      <c r="F1010">
        <v>6</v>
      </c>
      <c r="G1010" t="s">
        <v>53</v>
      </c>
      <c r="H1010" t="s">
        <v>148</v>
      </c>
      <c r="I1010">
        <v>20.5</v>
      </c>
      <c r="J1010">
        <v>14.5</v>
      </c>
      <c r="K1010">
        <v>17.8</v>
      </c>
      <c r="L1010">
        <v>16</v>
      </c>
      <c r="M1010">
        <v>285</v>
      </c>
      <c r="O1010">
        <f t="shared" si="30"/>
        <v>1026</v>
      </c>
      <c r="P1010">
        <f t="shared" si="31"/>
        <v>12.96</v>
      </c>
    </row>
    <row r="1011" spans="1:16" x14ac:dyDescent="0.25">
      <c r="A1011">
        <v>2014</v>
      </c>
      <c r="B1011" t="s">
        <v>175</v>
      </c>
      <c r="C1011" t="s">
        <v>195</v>
      </c>
      <c r="D1011" t="s">
        <v>193</v>
      </c>
      <c r="E1011">
        <v>4.8</v>
      </c>
      <c r="F1011">
        <v>8</v>
      </c>
      <c r="G1011" t="s">
        <v>33</v>
      </c>
      <c r="H1011" t="s">
        <v>143</v>
      </c>
      <c r="I1011">
        <v>21.1</v>
      </c>
      <c r="J1011">
        <v>14.2</v>
      </c>
      <c r="K1011">
        <v>18</v>
      </c>
      <c r="L1011">
        <v>16</v>
      </c>
      <c r="M1011">
        <v>414</v>
      </c>
      <c r="O1011">
        <f t="shared" si="30"/>
        <v>1987.1999999999998</v>
      </c>
      <c r="P1011">
        <f t="shared" si="31"/>
        <v>23.04</v>
      </c>
    </row>
    <row r="1012" spans="1:16" x14ac:dyDescent="0.25">
      <c r="A1012">
        <v>2014</v>
      </c>
      <c r="B1012" t="s">
        <v>265</v>
      </c>
      <c r="C1012" t="s">
        <v>283</v>
      </c>
      <c r="D1012" t="s">
        <v>202</v>
      </c>
      <c r="E1012">
        <v>3.7</v>
      </c>
      <c r="F1012">
        <v>6</v>
      </c>
      <c r="G1012" t="s">
        <v>33</v>
      </c>
      <c r="H1012" t="s">
        <v>148</v>
      </c>
      <c r="I1012">
        <v>20.2</v>
      </c>
      <c r="J1012">
        <v>15.3</v>
      </c>
      <c r="K1012">
        <v>18</v>
      </c>
      <c r="L1012">
        <v>16</v>
      </c>
      <c r="M1012">
        <v>288</v>
      </c>
      <c r="O1012">
        <f t="shared" si="30"/>
        <v>1065.6000000000001</v>
      </c>
      <c r="P1012">
        <f t="shared" si="31"/>
        <v>13.690000000000001</v>
      </c>
    </row>
    <row r="1013" spans="1:16" x14ac:dyDescent="0.25">
      <c r="A1013">
        <v>2014</v>
      </c>
      <c r="B1013" t="s">
        <v>265</v>
      </c>
      <c r="C1013" t="s">
        <v>283</v>
      </c>
      <c r="D1013" t="s">
        <v>202</v>
      </c>
      <c r="E1013">
        <v>3.7</v>
      </c>
      <c r="F1013">
        <v>6</v>
      </c>
      <c r="G1013" t="s">
        <v>23</v>
      </c>
      <c r="H1013" t="s">
        <v>148</v>
      </c>
      <c r="I1013">
        <v>20.2</v>
      </c>
      <c r="J1013">
        <v>15.3</v>
      </c>
      <c r="K1013">
        <v>18</v>
      </c>
      <c r="L1013">
        <v>16</v>
      </c>
      <c r="M1013">
        <v>288</v>
      </c>
      <c r="O1013">
        <f t="shared" si="30"/>
        <v>1065.6000000000001</v>
      </c>
      <c r="P1013">
        <f t="shared" si="31"/>
        <v>13.690000000000001</v>
      </c>
    </row>
    <row r="1014" spans="1:16" x14ac:dyDescent="0.25">
      <c r="A1014">
        <v>2014</v>
      </c>
      <c r="B1014" t="s">
        <v>265</v>
      </c>
      <c r="C1014" t="s">
        <v>284</v>
      </c>
      <c r="D1014" t="s">
        <v>202</v>
      </c>
      <c r="E1014">
        <v>6.2</v>
      </c>
      <c r="F1014">
        <v>8</v>
      </c>
      <c r="G1014" t="s">
        <v>23</v>
      </c>
      <c r="H1014" t="s">
        <v>143</v>
      </c>
      <c r="I1014">
        <v>20.399999999999999</v>
      </c>
      <c r="J1014">
        <v>15</v>
      </c>
      <c r="K1014">
        <v>18</v>
      </c>
      <c r="L1014">
        <v>16</v>
      </c>
      <c r="M1014">
        <v>414</v>
      </c>
      <c r="O1014">
        <f t="shared" si="30"/>
        <v>2566.8000000000002</v>
      </c>
      <c r="P1014">
        <f t="shared" si="31"/>
        <v>38.440000000000005</v>
      </c>
    </row>
    <row r="1015" spans="1:16" x14ac:dyDescent="0.25">
      <c r="A1015">
        <v>2014</v>
      </c>
      <c r="B1015" t="s">
        <v>308</v>
      </c>
      <c r="C1015" t="s">
        <v>317</v>
      </c>
      <c r="D1015" t="s">
        <v>193</v>
      </c>
      <c r="E1015">
        <v>4.8</v>
      </c>
      <c r="F1015">
        <v>8</v>
      </c>
      <c r="G1015" t="s">
        <v>33</v>
      </c>
      <c r="H1015" t="s">
        <v>143</v>
      </c>
      <c r="I1015">
        <v>21.1</v>
      </c>
      <c r="J1015">
        <v>14.2</v>
      </c>
      <c r="K1015">
        <v>18</v>
      </c>
      <c r="L1015">
        <v>16</v>
      </c>
      <c r="M1015">
        <v>414</v>
      </c>
      <c r="O1015">
        <f t="shared" si="30"/>
        <v>1987.1999999999998</v>
      </c>
      <c r="P1015">
        <f t="shared" si="31"/>
        <v>23.04</v>
      </c>
    </row>
    <row r="1016" spans="1:16" x14ac:dyDescent="0.25">
      <c r="A1016">
        <v>2014</v>
      </c>
      <c r="B1016" t="s">
        <v>376</v>
      </c>
      <c r="C1016" t="s">
        <v>382</v>
      </c>
      <c r="D1016" t="s">
        <v>26</v>
      </c>
      <c r="E1016">
        <v>5</v>
      </c>
      <c r="F1016">
        <v>8</v>
      </c>
      <c r="G1016" t="s">
        <v>45</v>
      </c>
      <c r="H1016" t="s">
        <v>148</v>
      </c>
      <c r="I1016">
        <v>21.3</v>
      </c>
      <c r="J1016">
        <v>14.1</v>
      </c>
      <c r="K1016">
        <v>18.100000000000001</v>
      </c>
      <c r="L1016">
        <v>16</v>
      </c>
      <c r="M1016">
        <v>290</v>
      </c>
      <c r="O1016">
        <f t="shared" si="30"/>
        <v>1450</v>
      </c>
      <c r="P1016">
        <f t="shared" si="31"/>
        <v>25</v>
      </c>
    </row>
    <row r="1017" spans="1:16" x14ac:dyDescent="0.25">
      <c r="A1017">
        <v>2014</v>
      </c>
      <c r="B1017" t="s">
        <v>175</v>
      </c>
      <c r="C1017" t="s">
        <v>196</v>
      </c>
      <c r="D1017" t="s">
        <v>193</v>
      </c>
      <c r="E1017">
        <v>4.8</v>
      </c>
      <c r="F1017">
        <v>8</v>
      </c>
      <c r="G1017" t="s">
        <v>33</v>
      </c>
      <c r="H1017" t="s">
        <v>143</v>
      </c>
      <c r="I1017">
        <v>21.3</v>
      </c>
      <c r="J1017">
        <v>14.3</v>
      </c>
      <c r="K1017">
        <v>18.2</v>
      </c>
      <c r="L1017">
        <v>16</v>
      </c>
      <c r="M1017">
        <v>419</v>
      </c>
      <c r="O1017">
        <f t="shared" si="30"/>
        <v>2011.1999999999998</v>
      </c>
      <c r="P1017">
        <f t="shared" si="31"/>
        <v>23.04</v>
      </c>
    </row>
    <row r="1018" spans="1:16" x14ac:dyDescent="0.25">
      <c r="A1018">
        <v>2014</v>
      </c>
      <c r="B1018" t="s">
        <v>308</v>
      </c>
      <c r="C1018" t="s">
        <v>318</v>
      </c>
      <c r="D1018" t="s">
        <v>193</v>
      </c>
      <c r="E1018">
        <v>4.8</v>
      </c>
      <c r="F1018">
        <v>8</v>
      </c>
      <c r="G1018" t="s">
        <v>33</v>
      </c>
      <c r="H1018" t="s">
        <v>143</v>
      </c>
      <c r="I1018">
        <v>21.3</v>
      </c>
      <c r="J1018">
        <v>14.3</v>
      </c>
      <c r="K1018">
        <v>18.2</v>
      </c>
      <c r="L1018">
        <v>16</v>
      </c>
      <c r="M1018">
        <v>419</v>
      </c>
      <c r="O1018">
        <f t="shared" si="30"/>
        <v>2011.1999999999998</v>
      </c>
      <c r="P1018">
        <f t="shared" si="31"/>
        <v>23.04</v>
      </c>
    </row>
    <row r="1019" spans="1:16" x14ac:dyDescent="0.25">
      <c r="A1019">
        <v>2014</v>
      </c>
      <c r="B1019" t="s">
        <v>506</v>
      </c>
      <c r="C1019" t="s">
        <v>539</v>
      </c>
      <c r="D1019" t="s">
        <v>64</v>
      </c>
      <c r="E1019">
        <v>5.5</v>
      </c>
      <c r="F1019">
        <v>8</v>
      </c>
      <c r="G1019" t="s">
        <v>360</v>
      </c>
      <c r="H1019" t="s">
        <v>17</v>
      </c>
      <c r="I1019">
        <v>20</v>
      </c>
      <c r="J1019">
        <v>15.9</v>
      </c>
      <c r="K1019">
        <v>18.2</v>
      </c>
      <c r="L1019">
        <v>16</v>
      </c>
      <c r="M1019">
        <v>419</v>
      </c>
      <c r="O1019">
        <f t="shared" si="30"/>
        <v>2304.5</v>
      </c>
      <c r="P1019">
        <f t="shared" si="31"/>
        <v>30.25</v>
      </c>
    </row>
    <row r="1020" spans="1:16" x14ac:dyDescent="0.25">
      <c r="A1020">
        <v>2014</v>
      </c>
      <c r="B1020" t="s">
        <v>265</v>
      </c>
      <c r="C1020" t="s">
        <v>270</v>
      </c>
      <c r="D1020" t="s">
        <v>193</v>
      </c>
      <c r="E1020">
        <v>5.4</v>
      </c>
      <c r="F1020">
        <v>8</v>
      </c>
      <c r="G1020" t="s">
        <v>42</v>
      </c>
      <c r="H1020" t="s">
        <v>143</v>
      </c>
      <c r="I1020">
        <v>20.6</v>
      </c>
      <c r="J1020">
        <v>15.5</v>
      </c>
      <c r="K1020">
        <v>18.3</v>
      </c>
      <c r="L1020">
        <v>15</v>
      </c>
      <c r="M1020">
        <v>421</v>
      </c>
      <c r="O1020">
        <f t="shared" si="30"/>
        <v>2273.4</v>
      </c>
      <c r="P1020">
        <f t="shared" si="31"/>
        <v>29.160000000000004</v>
      </c>
    </row>
    <row r="1021" spans="1:16" x14ac:dyDescent="0.25">
      <c r="A1021">
        <v>2014</v>
      </c>
      <c r="B1021" t="s">
        <v>431</v>
      </c>
      <c r="C1021" t="s">
        <v>432</v>
      </c>
      <c r="D1021" t="s">
        <v>37</v>
      </c>
      <c r="E1021">
        <v>6.5</v>
      </c>
      <c r="F1021">
        <v>12</v>
      </c>
      <c r="G1021" t="s">
        <v>67</v>
      </c>
      <c r="H1021" t="s">
        <v>17</v>
      </c>
      <c r="I1021">
        <v>22.8</v>
      </c>
      <c r="J1021">
        <v>12.9</v>
      </c>
      <c r="K1021">
        <v>18.3</v>
      </c>
      <c r="L1021">
        <v>15</v>
      </c>
      <c r="M1021">
        <v>421</v>
      </c>
      <c r="O1021">
        <f t="shared" si="30"/>
        <v>2736.5</v>
      </c>
      <c r="P1021">
        <f t="shared" si="31"/>
        <v>42.25</v>
      </c>
    </row>
    <row r="1022" spans="1:16" x14ac:dyDescent="0.25">
      <c r="A1022">
        <v>2014</v>
      </c>
      <c r="B1022" t="s">
        <v>175</v>
      </c>
      <c r="C1022" t="s">
        <v>210</v>
      </c>
      <c r="D1022" t="s">
        <v>64</v>
      </c>
      <c r="E1022">
        <v>5.3</v>
      </c>
      <c r="F1022">
        <v>8</v>
      </c>
      <c r="G1022" t="s">
        <v>33</v>
      </c>
      <c r="H1022" t="s">
        <v>148</v>
      </c>
      <c r="I1022">
        <v>21.5</v>
      </c>
      <c r="J1022">
        <v>14.6</v>
      </c>
      <c r="K1022">
        <v>18.399999999999999</v>
      </c>
      <c r="L1022">
        <v>15</v>
      </c>
      <c r="M1022">
        <v>294</v>
      </c>
      <c r="O1022">
        <f t="shared" si="30"/>
        <v>1558.2</v>
      </c>
      <c r="P1022">
        <f t="shared" si="31"/>
        <v>28.09</v>
      </c>
    </row>
    <row r="1023" spans="1:16" x14ac:dyDescent="0.25">
      <c r="A1023">
        <v>2014</v>
      </c>
      <c r="B1023" t="s">
        <v>175</v>
      </c>
      <c r="C1023" t="s">
        <v>211</v>
      </c>
      <c r="D1023" t="s">
        <v>64</v>
      </c>
      <c r="E1023">
        <v>5.3</v>
      </c>
      <c r="F1023">
        <v>8</v>
      </c>
      <c r="G1023" t="s">
        <v>33</v>
      </c>
      <c r="H1023" t="s">
        <v>148</v>
      </c>
      <c r="I1023">
        <v>21.5</v>
      </c>
      <c r="J1023">
        <v>14.6</v>
      </c>
      <c r="K1023">
        <v>18.399999999999999</v>
      </c>
      <c r="L1023">
        <v>15</v>
      </c>
      <c r="M1023">
        <v>294</v>
      </c>
      <c r="O1023">
        <f t="shared" si="30"/>
        <v>1558.2</v>
      </c>
      <c r="P1023">
        <f t="shared" si="31"/>
        <v>28.09</v>
      </c>
    </row>
    <row r="1024" spans="1:16" x14ac:dyDescent="0.25">
      <c r="A1024">
        <v>2014</v>
      </c>
      <c r="B1024" t="s">
        <v>175</v>
      </c>
      <c r="C1024" t="s">
        <v>212</v>
      </c>
      <c r="D1024" t="s">
        <v>64</v>
      </c>
      <c r="E1024">
        <v>5.3</v>
      </c>
      <c r="F1024">
        <v>8</v>
      </c>
      <c r="G1024" t="s">
        <v>33</v>
      </c>
      <c r="H1024" t="s">
        <v>148</v>
      </c>
      <c r="I1024">
        <v>21.5</v>
      </c>
      <c r="J1024">
        <v>14.6</v>
      </c>
      <c r="K1024">
        <v>18.399999999999999</v>
      </c>
      <c r="L1024">
        <v>15</v>
      </c>
      <c r="M1024">
        <v>294</v>
      </c>
      <c r="O1024">
        <f t="shared" si="30"/>
        <v>1558.2</v>
      </c>
      <c r="P1024">
        <f t="shared" si="31"/>
        <v>28.09</v>
      </c>
    </row>
    <row r="1025" spans="1:16" x14ac:dyDescent="0.25">
      <c r="A1025">
        <v>2014</v>
      </c>
      <c r="B1025" t="s">
        <v>175</v>
      </c>
      <c r="C1025" t="s">
        <v>213</v>
      </c>
      <c r="D1025" t="s">
        <v>64</v>
      </c>
      <c r="E1025">
        <v>5.3</v>
      </c>
      <c r="F1025">
        <v>8</v>
      </c>
      <c r="G1025" t="s">
        <v>33</v>
      </c>
      <c r="H1025" t="s">
        <v>148</v>
      </c>
      <c r="I1025">
        <v>21.5</v>
      </c>
      <c r="J1025">
        <v>14.6</v>
      </c>
      <c r="K1025">
        <v>18.399999999999999</v>
      </c>
      <c r="L1025">
        <v>15</v>
      </c>
      <c r="M1025">
        <v>294</v>
      </c>
      <c r="O1025">
        <f t="shared" si="30"/>
        <v>1558.2</v>
      </c>
      <c r="P1025">
        <f t="shared" si="31"/>
        <v>28.09</v>
      </c>
    </row>
    <row r="1026" spans="1:16" x14ac:dyDescent="0.25">
      <c r="A1026">
        <v>2014</v>
      </c>
      <c r="B1026" t="s">
        <v>308</v>
      </c>
      <c r="C1026" t="s">
        <v>323</v>
      </c>
      <c r="D1026" t="s">
        <v>64</v>
      </c>
      <c r="E1026">
        <v>5.3</v>
      </c>
      <c r="F1026">
        <v>8</v>
      </c>
      <c r="G1026" t="s">
        <v>33</v>
      </c>
      <c r="H1026" t="s">
        <v>148</v>
      </c>
      <c r="I1026">
        <v>21.5</v>
      </c>
      <c r="J1026">
        <v>14.6</v>
      </c>
      <c r="K1026">
        <v>18.399999999999999</v>
      </c>
      <c r="L1026">
        <v>15</v>
      </c>
      <c r="M1026">
        <v>294</v>
      </c>
      <c r="O1026">
        <f t="shared" si="30"/>
        <v>1558.2</v>
      </c>
      <c r="P1026">
        <f t="shared" si="31"/>
        <v>28.09</v>
      </c>
    </row>
    <row r="1027" spans="1:16" x14ac:dyDescent="0.25">
      <c r="A1027">
        <v>2014</v>
      </c>
      <c r="B1027" t="s">
        <v>308</v>
      </c>
      <c r="C1027" t="s">
        <v>324</v>
      </c>
      <c r="D1027" t="s">
        <v>64</v>
      </c>
      <c r="E1027">
        <v>5.3</v>
      </c>
      <c r="F1027">
        <v>8</v>
      </c>
      <c r="G1027" t="s">
        <v>33</v>
      </c>
      <c r="H1027" t="s">
        <v>148</v>
      </c>
      <c r="I1027">
        <v>21.5</v>
      </c>
      <c r="J1027">
        <v>14.6</v>
      </c>
      <c r="K1027">
        <v>18.399999999999999</v>
      </c>
      <c r="L1027">
        <v>15</v>
      </c>
      <c r="M1027">
        <v>294</v>
      </c>
      <c r="O1027">
        <f t="shared" ref="O1027:O1068" si="32">M1027*E1027</f>
        <v>1558.2</v>
      </c>
      <c r="P1027">
        <f t="shared" ref="P1027:P1068" si="33">E1027*E1027</f>
        <v>28.09</v>
      </c>
    </row>
    <row r="1028" spans="1:16" x14ac:dyDescent="0.25">
      <c r="A1028">
        <v>2014</v>
      </c>
      <c r="B1028" t="s">
        <v>308</v>
      </c>
      <c r="C1028" t="s">
        <v>327</v>
      </c>
      <c r="D1028" t="s">
        <v>64</v>
      </c>
      <c r="E1028">
        <v>5.3</v>
      </c>
      <c r="F1028">
        <v>8</v>
      </c>
      <c r="G1028" t="s">
        <v>33</v>
      </c>
      <c r="H1028" t="s">
        <v>148</v>
      </c>
      <c r="I1028">
        <v>21.5</v>
      </c>
      <c r="J1028">
        <v>14.6</v>
      </c>
      <c r="K1028">
        <v>18.399999999999999</v>
      </c>
      <c r="L1028">
        <v>15</v>
      </c>
      <c r="M1028">
        <v>294</v>
      </c>
      <c r="O1028">
        <f t="shared" si="32"/>
        <v>1558.2</v>
      </c>
      <c r="P1028">
        <f t="shared" si="33"/>
        <v>28.09</v>
      </c>
    </row>
    <row r="1029" spans="1:16" x14ac:dyDescent="0.25">
      <c r="A1029">
        <v>2014</v>
      </c>
      <c r="B1029" t="s">
        <v>308</v>
      </c>
      <c r="C1029" t="s">
        <v>328</v>
      </c>
      <c r="D1029" t="s">
        <v>64</v>
      </c>
      <c r="E1029">
        <v>5.3</v>
      </c>
      <c r="F1029">
        <v>8</v>
      </c>
      <c r="G1029" t="s">
        <v>33</v>
      </c>
      <c r="H1029" t="s">
        <v>148</v>
      </c>
      <c r="I1029">
        <v>21.5</v>
      </c>
      <c r="J1029">
        <v>14.6</v>
      </c>
      <c r="K1029">
        <v>18.399999999999999</v>
      </c>
      <c r="L1029">
        <v>15</v>
      </c>
      <c r="M1029">
        <v>294</v>
      </c>
      <c r="O1029">
        <f t="shared" si="32"/>
        <v>1558.2</v>
      </c>
      <c r="P1029">
        <f t="shared" si="33"/>
        <v>28.09</v>
      </c>
    </row>
    <row r="1030" spans="1:16" x14ac:dyDescent="0.25">
      <c r="A1030">
        <v>2014</v>
      </c>
      <c r="B1030" t="s">
        <v>175</v>
      </c>
      <c r="C1030" t="s">
        <v>195</v>
      </c>
      <c r="D1030" t="s">
        <v>193</v>
      </c>
      <c r="E1030">
        <v>6</v>
      </c>
      <c r="F1030">
        <v>8</v>
      </c>
      <c r="G1030" t="s">
        <v>33</v>
      </c>
      <c r="H1030" t="s">
        <v>143</v>
      </c>
      <c r="I1030">
        <v>21.9</v>
      </c>
      <c r="J1030">
        <v>15</v>
      </c>
      <c r="K1030">
        <v>18.8</v>
      </c>
      <c r="L1030">
        <v>15</v>
      </c>
      <c r="M1030">
        <v>432</v>
      </c>
      <c r="O1030">
        <f t="shared" si="32"/>
        <v>2592</v>
      </c>
      <c r="P1030">
        <f t="shared" si="33"/>
        <v>36</v>
      </c>
    </row>
    <row r="1031" spans="1:16" x14ac:dyDescent="0.25">
      <c r="A1031">
        <v>2014</v>
      </c>
      <c r="B1031" t="s">
        <v>308</v>
      </c>
      <c r="C1031" t="s">
        <v>317</v>
      </c>
      <c r="D1031" t="s">
        <v>193</v>
      </c>
      <c r="E1031">
        <v>6</v>
      </c>
      <c r="F1031">
        <v>8</v>
      </c>
      <c r="G1031" t="s">
        <v>33</v>
      </c>
      <c r="H1031" t="s">
        <v>143</v>
      </c>
      <c r="I1031">
        <v>21.9</v>
      </c>
      <c r="J1031">
        <v>15</v>
      </c>
      <c r="K1031">
        <v>18.8</v>
      </c>
      <c r="L1031">
        <v>15</v>
      </c>
      <c r="M1031">
        <v>432</v>
      </c>
      <c r="O1031">
        <f t="shared" si="32"/>
        <v>2592</v>
      </c>
      <c r="P1031">
        <f t="shared" si="33"/>
        <v>36</v>
      </c>
    </row>
    <row r="1032" spans="1:16" x14ac:dyDescent="0.25">
      <c r="A1032">
        <v>2014</v>
      </c>
      <c r="B1032" t="s">
        <v>175</v>
      </c>
      <c r="C1032" t="s">
        <v>196</v>
      </c>
      <c r="D1032" t="s">
        <v>193</v>
      </c>
      <c r="E1032">
        <v>6</v>
      </c>
      <c r="F1032">
        <v>8</v>
      </c>
      <c r="G1032" t="s">
        <v>33</v>
      </c>
      <c r="H1032" t="s">
        <v>143</v>
      </c>
      <c r="I1032">
        <v>22.1</v>
      </c>
      <c r="J1032">
        <v>15</v>
      </c>
      <c r="K1032">
        <v>18.899999999999999</v>
      </c>
      <c r="L1032">
        <v>15</v>
      </c>
      <c r="M1032">
        <v>435</v>
      </c>
      <c r="O1032">
        <f t="shared" si="32"/>
        <v>2610</v>
      </c>
      <c r="P1032">
        <f t="shared" si="33"/>
        <v>36</v>
      </c>
    </row>
    <row r="1033" spans="1:16" x14ac:dyDescent="0.25">
      <c r="A1033">
        <v>2014</v>
      </c>
      <c r="B1033" t="s">
        <v>308</v>
      </c>
      <c r="C1033" t="s">
        <v>318</v>
      </c>
      <c r="D1033" t="s">
        <v>193</v>
      </c>
      <c r="E1033">
        <v>6</v>
      </c>
      <c r="F1033">
        <v>8</v>
      </c>
      <c r="G1033" t="s">
        <v>33</v>
      </c>
      <c r="H1033" t="s">
        <v>143</v>
      </c>
      <c r="I1033">
        <v>22.1</v>
      </c>
      <c r="J1033">
        <v>15</v>
      </c>
      <c r="K1033">
        <v>18.899999999999999</v>
      </c>
      <c r="L1033">
        <v>15</v>
      </c>
      <c r="M1033">
        <v>435</v>
      </c>
      <c r="O1033">
        <f t="shared" si="32"/>
        <v>2610</v>
      </c>
      <c r="P1033">
        <f t="shared" si="33"/>
        <v>36</v>
      </c>
    </row>
    <row r="1034" spans="1:16" x14ac:dyDescent="0.25">
      <c r="A1034">
        <v>2014</v>
      </c>
      <c r="B1034" t="s">
        <v>83</v>
      </c>
      <c r="C1034" t="s">
        <v>89</v>
      </c>
      <c r="D1034" t="s">
        <v>26</v>
      </c>
      <c r="E1034">
        <v>6.8</v>
      </c>
      <c r="F1034">
        <v>8</v>
      </c>
      <c r="G1034" t="s">
        <v>45</v>
      </c>
      <c r="H1034" t="s">
        <v>17</v>
      </c>
      <c r="I1034">
        <v>22.3</v>
      </c>
      <c r="J1034">
        <v>14.9</v>
      </c>
      <c r="K1034">
        <v>19</v>
      </c>
      <c r="L1034">
        <v>15</v>
      </c>
      <c r="M1034">
        <v>437</v>
      </c>
      <c r="O1034">
        <f t="shared" si="32"/>
        <v>2971.6</v>
      </c>
      <c r="P1034">
        <f t="shared" si="33"/>
        <v>46.239999999999995</v>
      </c>
    </row>
    <row r="1035" spans="1:16" x14ac:dyDescent="0.25">
      <c r="A1035">
        <v>2014</v>
      </c>
      <c r="B1035" t="s">
        <v>265</v>
      </c>
      <c r="C1035" t="s">
        <v>282</v>
      </c>
      <c r="D1035" t="s">
        <v>202</v>
      </c>
      <c r="E1035">
        <v>5</v>
      </c>
      <c r="F1035">
        <v>8</v>
      </c>
      <c r="G1035" t="s">
        <v>33</v>
      </c>
      <c r="H1035" t="s">
        <v>148</v>
      </c>
      <c r="I1035">
        <v>22.1</v>
      </c>
      <c r="J1035">
        <v>16.7</v>
      </c>
      <c r="K1035">
        <v>19.7</v>
      </c>
      <c r="L1035">
        <v>14</v>
      </c>
      <c r="M1035">
        <v>315</v>
      </c>
      <c r="O1035">
        <f t="shared" si="32"/>
        <v>1575</v>
      </c>
      <c r="P1035">
        <f t="shared" si="33"/>
        <v>25</v>
      </c>
    </row>
    <row r="1036" spans="1:16" x14ac:dyDescent="0.25">
      <c r="A1036">
        <v>2014</v>
      </c>
      <c r="B1036" t="s">
        <v>265</v>
      </c>
      <c r="C1036" t="s">
        <v>282</v>
      </c>
      <c r="D1036" t="s">
        <v>202</v>
      </c>
      <c r="E1036">
        <v>5</v>
      </c>
      <c r="F1036">
        <v>8</v>
      </c>
      <c r="G1036" t="s">
        <v>23</v>
      </c>
      <c r="H1036" t="s">
        <v>148</v>
      </c>
      <c r="I1036">
        <v>22.1</v>
      </c>
      <c r="J1036">
        <v>16.7</v>
      </c>
      <c r="K1036">
        <v>19.7</v>
      </c>
      <c r="L1036">
        <v>14</v>
      </c>
      <c r="M1036">
        <v>315</v>
      </c>
      <c r="O1036">
        <f t="shared" si="32"/>
        <v>1575</v>
      </c>
      <c r="P1036">
        <f t="shared" si="33"/>
        <v>25</v>
      </c>
    </row>
    <row r="1037" spans="1:16" x14ac:dyDescent="0.25">
      <c r="A1037">
        <v>2014</v>
      </c>
      <c r="B1037" t="s">
        <v>265</v>
      </c>
      <c r="C1037" t="s">
        <v>283</v>
      </c>
      <c r="D1037" t="s">
        <v>202</v>
      </c>
      <c r="E1037">
        <v>5</v>
      </c>
      <c r="F1037">
        <v>8</v>
      </c>
      <c r="G1037" t="s">
        <v>23</v>
      </c>
      <c r="H1037" t="s">
        <v>148</v>
      </c>
      <c r="I1037">
        <v>22.4</v>
      </c>
      <c r="J1037">
        <v>16.899999999999999</v>
      </c>
      <c r="K1037">
        <v>19.899999999999999</v>
      </c>
      <c r="L1037">
        <v>14</v>
      </c>
      <c r="M1037">
        <v>318</v>
      </c>
      <c r="O1037">
        <f t="shared" si="32"/>
        <v>1590</v>
      </c>
      <c r="P1037">
        <f t="shared" si="33"/>
        <v>25</v>
      </c>
    </row>
    <row r="1038" spans="1:16" x14ac:dyDescent="0.25">
      <c r="A1038">
        <v>2014</v>
      </c>
      <c r="B1038" t="s">
        <v>265</v>
      </c>
      <c r="C1038" t="s">
        <v>283</v>
      </c>
      <c r="D1038" t="s">
        <v>202</v>
      </c>
      <c r="E1038">
        <v>5</v>
      </c>
      <c r="F1038">
        <v>8</v>
      </c>
      <c r="G1038" t="s">
        <v>33</v>
      </c>
      <c r="H1038" t="s">
        <v>148</v>
      </c>
      <c r="I1038">
        <v>22.4</v>
      </c>
      <c r="J1038">
        <v>17</v>
      </c>
      <c r="K1038">
        <v>20</v>
      </c>
      <c r="L1038">
        <v>14</v>
      </c>
      <c r="M1038">
        <v>320</v>
      </c>
      <c r="O1038">
        <f t="shared" si="32"/>
        <v>1600</v>
      </c>
      <c r="P1038">
        <f t="shared" si="33"/>
        <v>25</v>
      </c>
    </row>
    <row r="1039" spans="1:16" x14ac:dyDescent="0.25">
      <c r="A1039">
        <v>2014</v>
      </c>
      <c r="B1039" t="s">
        <v>155</v>
      </c>
      <c r="C1039" t="s">
        <v>168</v>
      </c>
      <c r="D1039" t="s">
        <v>64</v>
      </c>
      <c r="E1039">
        <v>6.2</v>
      </c>
      <c r="F1039">
        <v>8</v>
      </c>
      <c r="G1039" t="s">
        <v>33</v>
      </c>
      <c r="H1039" t="s">
        <v>148</v>
      </c>
      <c r="I1039">
        <v>23.3</v>
      </c>
      <c r="J1039">
        <v>16.100000000000001</v>
      </c>
      <c r="K1039">
        <v>20.100000000000001</v>
      </c>
      <c r="L1039">
        <v>14</v>
      </c>
      <c r="M1039">
        <v>322</v>
      </c>
      <c r="O1039">
        <f t="shared" si="32"/>
        <v>1996.4</v>
      </c>
      <c r="P1039">
        <f t="shared" si="33"/>
        <v>38.440000000000005</v>
      </c>
    </row>
    <row r="1040" spans="1:16" x14ac:dyDescent="0.25">
      <c r="A1040">
        <v>2014</v>
      </c>
      <c r="B1040" t="s">
        <v>308</v>
      </c>
      <c r="C1040" t="s">
        <v>325</v>
      </c>
      <c r="D1040" t="s">
        <v>64</v>
      </c>
      <c r="E1040">
        <v>6.2</v>
      </c>
      <c r="F1040">
        <v>8</v>
      </c>
      <c r="G1040" t="s">
        <v>33</v>
      </c>
      <c r="H1040" t="s">
        <v>148</v>
      </c>
      <c r="I1040">
        <v>23.3</v>
      </c>
      <c r="J1040">
        <v>16.100000000000001</v>
      </c>
      <c r="K1040">
        <v>20.100000000000001</v>
      </c>
      <c r="L1040">
        <v>14</v>
      </c>
      <c r="M1040">
        <v>322</v>
      </c>
      <c r="O1040">
        <f t="shared" si="32"/>
        <v>1996.4</v>
      </c>
      <c r="P1040">
        <f t="shared" si="33"/>
        <v>38.440000000000005</v>
      </c>
    </row>
    <row r="1041" spans="1:16" x14ac:dyDescent="0.25">
      <c r="A1041">
        <v>2014</v>
      </c>
      <c r="B1041" t="s">
        <v>434</v>
      </c>
      <c r="C1041" t="s">
        <v>445</v>
      </c>
      <c r="D1041" t="s">
        <v>64</v>
      </c>
      <c r="E1041">
        <v>5</v>
      </c>
      <c r="F1041">
        <v>8</v>
      </c>
      <c r="G1041" t="s">
        <v>45</v>
      </c>
      <c r="H1041" t="s">
        <v>148</v>
      </c>
      <c r="I1041">
        <v>24</v>
      </c>
      <c r="J1041">
        <v>16.600000000000001</v>
      </c>
      <c r="K1041">
        <v>20.7</v>
      </c>
      <c r="L1041">
        <v>14</v>
      </c>
      <c r="M1041">
        <v>331</v>
      </c>
      <c r="O1041">
        <f t="shared" si="32"/>
        <v>1655</v>
      </c>
      <c r="P1041">
        <f t="shared" si="33"/>
        <v>25</v>
      </c>
    </row>
    <row r="1042" spans="1:16" x14ac:dyDescent="0.25">
      <c r="A1042">
        <v>2014</v>
      </c>
      <c r="B1042" t="s">
        <v>175</v>
      </c>
      <c r="C1042" t="s">
        <v>187</v>
      </c>
      <c r="D1042" t="s">
        <v>188</v>
      </c>
      <c r="E1042">
        <v>5.3</v>
      </c>
      <c r="F1042">
        <v>8</v>
      </c>
      <c r="G1042" t="s">
        <v>42</v>
      </c>
      <c r="H1042" t="s">
        <v>148</v>
      </c>
      <c r="I1042">
        <v>23.5</v>
      </c>
      <c r="J1042">
        <v>17.7</v>
      </c>
      <c r="K1042">
        <v>20.9</v>
      </c>
      <c r="L1042">
        <v>14</v>
      </c>
      <c r="M1042">
        <v>334</v>
      </c>
      <c r="O1042">
        <f t="shared" si="32"/>
        <v>1770.2</v>
      </c>
      <c r="P1042">
        <f t="shared" si="33"/>
        <v>28.09</v>
      </c>
    </row>
    <row r="1043" spans="1:16" x14ac:dyDescent="0.25">
      <c r="A1043">
        <v>2014</v>
      </c>
      <c r="B1043" t="s">
        <v>308</v>
      </c>
      <c r="C1043" t="s">
        <v>311</v>
      </c>
      <c r="D1043" t="s">
        <v>188</v>
      </c>
      <c r="E1043">
        <v>5.3</v>
      </c>
      <c r="F1043">
        <v>8</v>
      </c>
      <c r="G1043" t="s">
        <v>42</v>
      </c>
      <c r="H1043" t="s">
        <v>148</v>
      </c>
      <c r="I1043">
        <v>23.5</v>
      </c>
      <c r="J1043">
        <v>17.7</v>
      </c>
      <c r="K1043">
        <v>20.9</v>
      </c>
      <c r="L1043">
        <v>14</v>
      </c>
      <c r="M1043">
        <v>334</v>
      </c>
      <c r="O1043">
        <f t="shared" si="32"/>
        <v>1770.2</v>
      </c>
      <c r="P1043">
        <f t="shared" si="33"/>
        <v>28.09</v>
      </c>
    </row>
    <row r="1044" spans="1:16" x14ac:dyDescent="0.25">
      <c r="A1044">
        <v>2014</v>
      </c>
      <c r="B1044" t="s">
        <v>265</v>
      </c>
      <c r="C1044" t="s">
        <v>269</v>
      </c>
      <c r="D1044" t="s">
        <v>193</v>
      </c>
      <c r="E1044">
        <v>6.8</v>
      </c>
      <c r="F1044">
        <v>10</v>
      </c>
      <c r="G1044" t="s">
        <v>224</v>
      </c>
      <c r="H1044" t="s">
        <v>143</v>
      </c>
      <c r="I1044">
        <v>23.9</v>
      </c>
      <c r="J1044">
        <v>17.8</v>
      </c>
      <c r="K1044">
        <v>21.2</v>
      </c>
      <c r="L1044">
        <v>13</v>
      </c>
      <c r="M1044">
        <v>488</v>
      </c>
      <c r="O1044">
        <f t="shared" si="32"/>
        <v>3318.4</v>
      </c>
      <c r="P1044">
        <f t="shared" si="33"/>
        <v>46.239999999999995</v>
      </c>
    </row>
    <row r="1045" spans="1:16" x14ac:dyDescent="0.25">
      <c r="A1045">
        <v>2014</v>
      </c>
      <c r="B1045" t="s">
        <v>434</v>
      </c>
      <c r="C1045" t="s">
        <v>441</v>
      </c>
      <c r="D1045" t="s">
        <v>64</v>
      </c>
      <c r="E1045">
        <v>5</v>
      </c>
      <c r="F1045">
        <v>8</v>
      </c>
      <c r="G1045" t="s">
        <v>45</v>
      </c>
      <c r="H1045" t="s">
        <v>148</v>
      </c>
      <c r="I1045">
        <v>25</v>
      </c>
      <c r="J1045">
        <v>16.899999999999999</v>
      </c>
      <c r="K1045">
        <v>21.4</v>
      </c>
      <c r="L1045">
        <v>13</v>
      </c>
      <c r="M1045">
        <v>342</v>
      </c>
      <c r="O1045">
        <f t="shared" si="32"/>
        <v>1710</v>
      </c>
      <c r="P1045">
        <f t="shared" si="33"/>
        <v>25</v>
      </c>
    </row>
    <row r="1046" spans="1:16" x14ac:dyDescent="0.25">
      <c r="A1046">
        <v>2014</v>
      </c>
      <c r="B1046" t="s">
        <v>434</v>
      </c>
      <c r="C1046" t="s">
        <v>449</v>
      </c>
      <c r="D1046" t="s">
        <v>64</v>
      </c>
      <c r="E1046">
        <v>5</v>
      </c>
      <c r="F1046">
        <v>8</v>
      </c>
      <c r="G1046" t="s">
        <v>45</v>
      </c>
      <c r="H1046" t="s">
        <v>148</v>
      </c>
      <c r="I1046">
        <v>25</v>
      </c>
      <c r="J1046">
        <v>16.899999999999999</v>
      </c>
      <c r="K1046">
        <v>21.4</v>
      </c>
      <c r="L1046">
        <v>13</v>
      </c>
      <c r="M1046">
        <v>342</v>
      </c>
      <c r="O1046">
        <f t="shared" si="32"/>
        <v>1710</v>
      </c>
      <c r="P1046">
        <f t="shared" si="33"/>
        <v>25</v>
      </c>
    </row>
    <row r="1047" spans="1:16" x14ac:dyDescent="0.25">
      <c r="A1047">
        <v>2014</v>
      </c>
      <c r="B1047" t="s">
        <v>175</v>
      </c>
      <c r="C1047" t="s">
        <v>189</v>
      </c>
      <c r="D1047" t="s">
        <v>188</v>
      </c>
      <c r="E1047">
        <v>5.3</v>
      </c>
      <c r="F1047">
        <v>8</v>
      </c>
      <c r="G1047" t="s">
        <v>42</v>
      </c>
      <c r="H1047" t="s">
        <v>148</v>
      </c>
      <c r="I1047">
        <v>23.7</v>
      </c>
      <c r="J1047">
        <v>18.8</v>
      </c>
      <c r="K1047">
        <v>21.5</v>
      </c>
      <c r="L1047">
        <v>13</v>
      </c>
      <c r="M1047">
        <v>344</v>
      </c>
      <c r="O1047">
        <f t="shared" si="32"/>
        <v>1823.2</v>
      </c>
      <c r="P1047">
        <f t="shared" si="33"/>
        <v>28.09</v>
      </c>
    </row>
    <row r="1048" spans="1:16" x14ac:dyDescent="0.25">
      <c r="A1048">
        <v>2014</v>
      </c>
      <c r="B1048" t="s">
        <v>175</v>
      </c>
      <c r="C1048" t="s">
        <v>190</v>
      </c>
      <c r="D1048" t="s">
        <v>188</v>
      </c>
      <c r="E1048">
        <v>5.3</v>
      </c>
      <c r="F1048">
        <v>8</v>
      </c>
      <c r="G1048" t="s">
        <v>42</v>
      </c>
      <c r="H1048" t="s">
        <v>148</v>
      </c>
      <c r="I1048">
        <v>23.9</v>
      </c>
      <c r="J1048">
        <v>18.5</v>
      </c>
      <c r="K1048">
        <v>21.5</v>
      </c>
      <c r="L1048">
        <v>13</v>
      </c>
      <c r="M1048">
        <v>344</v>
      </c>
      <c r="O1048">
        <f t="shared" si="32"/>
        <v>1823.2</v>
      </c>
      <c r="P1048">
        <f t="shared" si="33"/>
        <v>28.09</v>
      </c>
    </row>
    <row r="1049" spans="1:16" x14ac:dyDescent="0.25">
      <c r="A1049">
        <v>2014</v>
      </c>
      <c r="B1049" t="s">
        <v>175</v>
      </c>
      <c r="C1049" t="s">
        <v>192</v>
      </c>
      <c r="D1049" t="s">
        <v>193</v>
      </c>
      <c r="E1049">
        <v>5.3</v>
      </c>
      <c r="F1049">
        <v>8</v>
      </c>
      <c r="G1049" t="s">
        <v>42</v>
      </c>
      <c r="H1049" t="s">
        <v>148</v>
      </c>
      <c r="I1049">
        <v>23.9</v>
      </c>
      <c r="J1049">
        <v>18.5</v>
      </c>
      <c r="K1049">
        <v>21.5</v>
      </c>
      <c r="L1049">
        <v>13</v>
      </c>
      <c r="M1049">
        <v>344</v>
      </c>
      <c r="O1049">
        <f t="shared" si="32"/>
        <v>1823.2</v>
      </c>
      <c r="P1049">
        <f t="shared" si="33"/>
        <v>28.09</v>
      </c>
    </row>
    <row r="1050" spans="1:16" x14ac:dyDescent="0.25">
      <c r="A1050">
        <v>2014</v>
      </c>
      <c r="B1050" t="s">
        <v>308</v>
      </c>
      <c r="C1050" t="s">
        <v>312</v>
      </c>
      <c r="D1050" t="s">
        <v>188</v>
      </c>
      <c r="E1050">
        <v>5.3</v>
      </c>
      <c r="F1050">
        <v>8</v>
      </c>
      <c r="G1050" t="s">
        <v>42</v>
      </c>
      <c r="H1050" t="s">
        <v>148</v>
      </c>
      <c r="I1050">
        <v>23.7</v>
      </c>
      <c r="J1050">
        <v>18.8</v>
      </c>
      <c r="K1050">
        <v>21.5</v>
      </c>
      <c r="L1050">
        <v>13</v>
      </c>
      <c r="M1050">
        <v>344</v>
      </c>
      <c r="O1050">
        <f t="shared" si="32"/>
        <v>1823.2</v>
      </c>
      <c r="P1050">
        <f t="shared" si="33"/>
        <v>28.09</v>
      </c>
    </row>
    <row r="1051" spans="1:16" x14ac:dyDescent="0.25">
      <c r="A1051">
        <v>2014</v>
      </c>
      <c r="B1051" t="s">
        <v>308</v>
      </c>
      <c r="C1051" t="s">
        <v>313</v>
      </c>
      <c r="D1051" t="s">
        <v>188</v>
      </c>
      <c r="E1051">
        <v>5.3</v>
      </c>
      <c r="F1051">
        <v>8</v>
      </c>
      <c r="G1051" t="s">
        <v>42</v>
      </c>
      <c r="H1051" t="s">
        <v>148</v>
      </c>
      <c r="I1051">
        <v>23.9</v>
      </c>
      <c r="J1051">
        <v>18.5</v>
      </c>
      <c r="K1051">
        <v>21.5</v>
      </c>
      <c r="L1051">
        <v>13</v>
      </c>
      <c r="M1051">
        <v>344</v>
      </c>
      <c r="O1051">
        <f t="shared" si="32"/>
        <v>1823.2</v>
      </c>
      <c r="P1051">
        <f t="shared" si="33"/>
        <v>28.09</v>
      </c>
    </row>
    <row r="1052" spans="1:16" x14ac:dyDescent="0.25">
      <c r="A1052">
        <v>2014</v>
      </c>
      <c r="B1052" t="s">
        <v>308</v>
      </c>
      <c r="C1052" t="s">
        <v>315</v>
      </c>
      <c r="D1052" t="s">
        <v>193</v>
      </c>
      <c r="E1052">
        <v>5.3</v>
      </c>
      <c r="F1052">
        <v>8</v>
      </c>
      <c r="G1052" t="s">
        <v>42</v>
      </c>
      <c r="H1052" t="s">
        <v>148</v>
      </c>
      <c r="I1052">
        <v>23.9</v>
      </c>
      <c r="J1052">
        <v>18.5</v>
      </c>
      <c r="K1052">
        <v>21.5</v>
      </c>
      <c r="L1052">
        <v>13</v>
      </c>
      <c r="M1052">
        <v>344</v>
      </c>
      <c r="O1052">
        <f t="shared" si="32"/>
        <v>1823.2</v>
      </c>
      <c r="P1052">
        <f t="shared" si="33"/>
        <v>28.09</v>
      </c>
    </row>
    <row r="1053" spans="1:16" x14ac:dyDescent="0.25">
      <c r="A1053">
        <v>2014</v>
      </c>
      <c r="B1053" t="s">
        <v>265</v>
      </c>
      <c r="C1053" t="s">
        <v>275</v>
      </c>
      <c r="D1053" t="s">
        <v>64</v>
      </c>
      <c r="E1053">
        <v>5.4</v>
      </c>
      <c r="F1053">
        <v>8</v>
      </c>
      <c r="G1053" t="s">
        <v>33</v>
      </c>
      <c r="H1053" t="s">
        <v>148</v>
      </c>
      <c r="I1053">
        <v>24.5</v>
      </c>
      <c r="J1053">
        <v>18</v>
      </c>
      <c r="K1053">
        <v>21.6</v>
      </c>
      <c r="L1053">
        <v>13</v>
      </c>
      <c r="M1053">
        <v>346</v>
      </c>
      <c r="O1053">
        <f t="shared" si="32"/>
        <v>1868.4</v>
      </c>
      <c r="P1053">
        <f t="shared" si="33"/>
        <v>29.160000000000004</v>
      </c>
    </row>
    <row r="1054" spans="1:16" x14ac:dyDescent="0.25">
      <c r="A1054">
        <v>2014</v>
      </c>
      <c r="B1054" t="s">
        <v>473</v>
      </c>
      <c r="C1054" t="s">
        <v>482</v>
      </c>
      <c r="D1054" t="s">
        <v>64</v>
      </c>
      <c r="E1054">
        <v>5.4</v>
      </c>
      <c r="F1054">
        <v>8</v>
      </c>
      <c r="G1054" t="s">
        <v>33</v>
      </c>
      <c r="H1054" t="s">
        <v>148</v>
      </c>
      <c r="I1054">
        <v>24.5</v>
      </c>
      <c r="J1054">
        <v>18</v>
      </c>
      <c r="K1054">
        <v>21.6</v>
      </c>
      <c r="L1054">
        <v>13</v>
      </c>
      <c r="M1054">
        <v>346</v>
      </c>
      <c r="O1054">
        <f t="shared" si="32"/>
        <v>1868.4</v>
      </c>
      <c r="P1054">
        <f t="shared" si="33"/>
        <v>29.160000000000004</v>
      </c>
    </row>
    <row r="1055" spans="1:16" x14ac:dyDescent="0.25">
      <c r="A1055">
        <v>2014</v>
      </c>
      <c r="B1055" t="s">
        <v>265</v>
      </c>
      <c r="C1055" t="s">
        <v>267</v>
      </c>
      <c r="D1055" t="s">
        <v>188</v>
      </c>
      <c r="E1055">
        <v>4.5999999999999996</v>
      </c>
      <c r="F1055">
        <v>8</v>
      </c>
      <c r="G1055" t="s">
        <v>42</v>
      </c>
      <c r="H1055" t="s">
        <v>148</v>
      </c>
      <c r="I1055">
        <v>24.1</v>
      </c>
      <c r="J1055">
        <v>19.2</v>
      </c>
      <c r="K1055">
        <v>21.9</v>
      </c>
      <c r="L1055">
        <v>13</v>
      </c>
      <c r="M1055">
        <v>350</v>
      </c>
      <c r="O1055">
        <f t="shared" si="32"/>
        <v>1609.9999999999998</v>
      </c>
      <c r="P1055">
        <f t="shared" si="33"/>
        <v>21.159999999999997</v>
      </c>
    </row>
    <row r="1056" spans="1:16" x14ac:dyDescent="0.25">
      <c r="A1056">
        <v>2014</v>
      </c>
      <c r="B1056" t="s">
        <v>155</v>
      </c>
      <c r="C1056" t="s">
        <v>169</v>
      </c>
      <c r="D1056" t="s">
        <v>64</v>
      </c>
      <c r="E1056">
        <v>6.2</v>
      </c>
      <c r="F1056">
        <v>8</v>
      </c>
      <c r="G1056" t="s">
        <v>33</v>
      </c>
      <c r="H1056" t="s">
        <v>148</v>
      </c>
      <c r="I1056">
        <v>25.7</v>
      </c>
      <c r="J1056">
        <v>17.8</v>
      </c>
      <c r="K1056">
        <v>22.1</v>
      </c>
      <c r="L1056">
        <v>13</v>
      </c>
      <c r="M1056">
        <v>354</v>
      </c>
      <c r="O1056">
        <f t="shared" si="32"/>
        <v>2194.8000000000002</v>
      </c>
      <c r="P1056">
        <f t="shared" si="33"/>
        <v>38.440000000000005</v>
      </c>
    </row>
    <row r="1057" spans="1:16" x14ac:dyDescent="0.25">
      <c r="A1057">
        <v>2014</v>
      </c>
      <c r="B1057" t="s">
        <v>308</v>
      </c>
      <c r="C1057" t="s">
        <v>326</v>
      </c>
      <c r="D1057" t="s">
        <v>64</v>
      </c>
      <c r="E1057">
        <v>6.2</v>
      </c>
      <c r="F1057">
        <v>8</v>
      </c>
      <c r="G1057" t="s">
        <v>33</v>
      </c>
      <c r="H1057" t="s">
        <v>148</v>
      </c>
      <c r="I1057">
        <v>25.7</v>
      </c>
      <c r="J1057">
        <v>17.8</v>
      </c>
      <c r="K1057">
        <v>22.1</v>
      </c>
      <c r="L1057">
        <v>13</v>
      </c>
      <c r="M1057">
        <v>354</v>
      </c>
      <c r="O1057">
        <f t="shared" si="32"/>
        <v>2194.8000000000002</v>
      </c>
      <c r="P1057">
        <f t="shared" si="33"/>
        <v>38.440000000000005</v>
      </c>
    </row>
    <row r="1058" spans="1:16" x14ac:dyDescent="0.25">
      <c r="A1058">
        <v>2014</v>
      </c>
      <c r="B1058" t="s">
        <v>265</v>
      </c>
      <c r="C1058" t="s">
        <v>267</v>
      </c>
      <c r="D1058" t="s">
        <v>188</v>
      </c>
      <c r="E1058">
        <v>5.4</v>
      </c>
      <c r="F1058">
        <v>8</v>
      </c>
      <c r="G1058" t="s">
        <v>42</v>
      </c>
      <c r="H1058" t="s">
        <v>148</v>
      </c>
      <c r="I1058">
        <v>24.9</v>
      </c>
      <c r="J1058">
        <v>19.600000000000001</v>
      </c>
      <c r="K1058">
        <v>22.5</v>
      </c>
      <c r="L1058">
        <v>13</v>
      </c>
      <c r="M1058">
        <v>360</v>
      </c>
      <c r="O1058">
        <f t="shared" si="32"/>
        <v>1944.0000000000002</v>
      </c>
      <c r="P1058">
        <f t="shared" si="33"/>
        <v>29.160000000000004</v>
      </c>
    </row>
    <row r="1059" spans="1:16" x14ac:dyDescent="0.25">
      <c r="A1059">
        <v>2014</v>
      </c>
      <c r="B1059" t="s">
        <v>175</v>
      </c>
      <c r="C1059" t="s">
        <v>191</v>
      </c>
      <c r="D1059" t="s">
        <v>188</v>
      </c>
      <c r="E1059">
        <v>5.3</v>
      </c>
      <c r="F1059">
        <v>8</v>
      </c>
      <c r="G1059" t="s">
        <v>42</v>
      </c>
      <c r="H1059" t="s">
        <v>148</v>
      </c>
      <c r="I1059">
        <v>25.3</v>
      </c>
      <c r="J1059">
        <v>19.3</v>
      </c>
      <c r="K1059">
        <v>22.6</v>
      </c>
      <c r="L1059">
        <v>12</v>
      </c>
      <c r="M1059">
        <v>362</v>
      </c>
      <c r="O1059">
        <f t="shared" si="32"/>
        <v>1918.6</v>
      </c>
      <c r="P1059">
        <f t="shared" si="33"/>
        <v>28.09</v>
      </c>
    </row>
    <row r="1060" spans="1:16" x14ac:dyDescent="0.25">
      <c r="A1060">
        <v>2014</v>
      </c>
      <c r="B1060" t="s">
        <v>175</v>
      </c>
      <c r="C1060" t="s">
        <v>194</v>
      </c>
      <c r="D1060" t="s">
        <v>193</v>
      </c>
      <c r="E1060">
        <v>5.3</v>
      </c>
      <c r="F1060">
        <v>8</v>
      </c>
      <c r="G1060" t="s">
        <v>42</v>
      </c>
      <c r="H1060" t="s">
        <v>148</v>
      </c>
      <c r="I1060">
        <v>25.3</v>
      </c>
      <c r="J1060">
        <v>19.3</v>
      </c>
      <c r="K1060">
        <v>22.6</v>
      </c>
      <c r="L1060">
        <v>12</v>
      </c>
      <c r="M1060">
        <v>362</v>
      </c>
      <c r="O1060">
        <f t="shared" si="32"/>
        <v>1918.6</v>
      </c>
      <c r="P1060">
        <f t="shared" si="33"/>
        <v>28.09</v>
      </c>
    </row>
    <row r="1061" spans="1:16" x14ac:dyDescent="0.25">
      <c r="A1061">
        <v>2014</v>
      </c>
      <c r="B1061" t="s">
        <v>308</v>
      </c>
      <c r="C1061" t="s">
        <v>314</v>
      </c>
      <c r="D1061" t="s">
        <v>188</v>
      </c>
      <c r="E1061">
        <v>5.3</v>
      </c>
      <c r="F1061">
        <v>8</v>
      </c>
      <c r="G1061" t="s">
        <v>42</v>
      </c>
      <c r="H1061" t="s">
        <v>148</v>
      </c>
      <c r="I1061">
        <v>25.3</v>
      </c>
      <c r="J1061">
        <v>19.3</v>
      </c>
      <c r="K1061">
        <v>22.6</v>
      </c>
      <c r="L1061">
        <v>12</v>
      </c>
      <c r="M1061">
        <v>362</v>
      </c>
      <c r="O1061">
        <f t="shared" si="32"/>
        <v>1918.6</v>
      </c>
      <c r="P1061">
        <f t="shared" si="33"/>
        <v>28.09</v>
      </c>
    </row>
    <row r="1062" spans="1:16" x14ac:dyDescent="0.25">
      <c r="A1062">
        <v>2014</v>
      </c>
      <c r="B1062" t="s">
        <v>308</v>
      </c>
      <c r="C1062" t="s">
        <v>316</v>
      </c>
      <c r="D1062" t="s">
        <v>193</v>
      </c>
      <c r="E1062">
        <v>5.3</v>
      </c>
      <c r="F1062">
        <v>8</v>
      </c>
      <c r="G1062" t="s">
        <v>42</v>
      </c>
      <c r="H1062" t="s">
        <v>148</v>
      </c>
      <c r="I1062">
        <v>25.3</v>
      </c>
      <c r="J1062">
        <v>19.3</v>
      </c>
      <c r="K1062">
        <v>22.6</v>
      </c>
      <c r="L1062">
        <v>12</v>
      </c>
      <c r="M1062">
        <v>362</v>
      </c>
      <c r="O1062">
        <f t="shared" si="32"/>
        <v>1918.6</v>
      </c>
      <c r="P1062">
        <f t="shared" si="33"/>
        <v>28.09</v>
      </c>
    </row>
    <row r="1063" spans="1:16" x14ac:dyDescent="0.25">
      <c r="A1063">
        <v>2014</v>
      </c>
      <c r="B1063" t="s">
        <v>265</v>
      </c>
      <c r="C1063" t="s">
        <v>268</v>
      </c>
      <c r="D1063" t="s">
        <v>193</v>
      </c>
      <c r="E1063">
        <v>4.5999999999999996</v>
      </c>
      <c r="F1063">
        <v>8</v>
      </c>
      <c r="G1063" t="s">
        <v>42</v>
      </c>
      <c r="H1063" t="s">
        <v>148</v>
      </c>
      <c r="I1063">
        <v>25.5</v>
      </c>
      <c r="J1063">
        <v>20</v>
      </c>
      <c r="K1063">
        <v>23</v>
      </c>
      <c r="L1063">
        <v>12</v>
      </c>
      <c r="M1063">
        <v>368</v>
      </c>
      <c r="O1063">
        <f t="shared" si="32"/>
        <v>1692.8</v>
      </c>
      <c r="P1063">
        <f t="shared" si="33"/>
        <v>21.159999999999997</v>
      </c>
    </row>
    <row r="1064" spans="1:16" x14ac:dyDescent="0.25">
      <c r="A1064">
        <v>2014</v>
      </c>
      <c r="B1064" t="s">
        <v>265</v>
      </c>
      <c r="C1064" t="s">
        <v>270</v>
      </c>
      <c r="D1064" t="s">
        <v>193</v>
      </c>
      <c r="E1064">
        <v>5.4</v>
      </c>
      <c r="F1064">
        <v>8</v>
      </c>
      <c r="G1064" t="s">
        <v>42</v>
      </c>
      <c r="H1064" t="s">
        <v>148</v>
      </c>
      <c r="I1064">
        <v>26.7</v>
      </c>
      <c r="J1064">
        <v>20.5</v>
      </c>
      <c r="K1064">
        <v>23.9</v>
      </c>
      <c r="L1064">
        <v>12</v>
      </c>
      <c r="M1064">
        <v>382</v>
      </c>
      <c r="O1064">
        <f t="shared" si="32"/>
        <v>2062.8000000000002</v>
      </c>
      <c r="P1064">
        <f t="shared" si="33"/>
        <v>29.160000000000004</v>
      </c>
    </row>
    <row r="1065" spans="1:16" x14ac:dyDescent="0.25">
      <c r="A1065">
        <v>2014</v>
      </c>
      <c r="B1065" t="s">
        <v>175</v>
      </c>
      <c r="C1065" t="s">
        <v>195</v>
      </c>
      <c r="D1065" t="s">
        <v>193</v>
      </c>
      <c r="E1065">
        <v>6</v>
      </c>
      <c r="F1065">
        <v>8</v>
      </c>
      <c r="G1065" t="s">
        <v>33</v>
      </c>
      <c r="H1065" t="s">
        <v>148</v>
      </c>
      <c r="I1065">
        <v>30</v>
      </c>
      <c r="J1065">
        <v>20.399999999999999</v>
      </c>
      <c r="K1065">
        <v>25.7</v>
      </c>
      <c r="L1065">
        <v>11</v>
      </c>
      <c r="M1065">
        <v>411</v>
      </c>
      <c r="O1065">
        <f t="shared" si="32"/>
        <v>2466</v>
      </c>
      <c r="P1065">
        <f t="shared" si="33"/>
        <v>36</v>
      </c>
    </row>
    <row r="1066" spans="1:16" x14ac:dyDescent="0.25">
      <c r="A1066">
        <v>2014</v>
      </c>
      <c r="B1066" t="s">
        <v>308</v>
      </c>
      <c r="C1066" t="s">
        <v>317</v>
      </c>
      <c r="D1066" t="s">
        <v>193</v>
      </c>
      <c r="E1066">
        <v>6</v>
      </c>
      <c r="F1066">
        <v>8</v>
      </c>
      <c r="G1066" t="s">
        <v>33</v>
      </c>
      <c r="H1066" t="s">
        <v>148</v>
      </c>
      <c r="I1066">
        <v>30</v>
      </c>
      <c r="J1066">
        <v>20.399999999999999</v>
      </c>
      <c r="K1066">
        <v>25.7</v>
      </c>
      <c r="L1066">
        <v>11</v>
      </c>
      <c r="M1066">
        <v>411</v>
      </c>
      <c r="O1066">
        <f t="shared" si="32"/>
        <v>2466</v>
      </c>
      <c r="P1066">
        <f t="shared" si="33"/>
        <v>36</v>
      </c>
    </row>
    <row r="1067" spans="1:16" x14ac:dyDescent="0.25">
      <c r="A1067">
        <v>2014</v>
      </c>
      <c r="B1067" t="s">
        <v>175</v>
      </c>
      <c r="C1067" t="s">
        <v>196</v>
      </c>
      <c r="D1067" t="s">
        <v>193</v>
      </c>
      <c r="E1067">
        <v>6</v>
      </c>
      <c r="F1067">
        <v>8</v>
      </c>
      <c r="G1067" t="s">
        <v>33</v>
      </c>
      <c r="H1067" t="s">
        <v>148</v>
      </c>
      <c r="I1067">
        <v>30.2</v>
      </c>
      <c r="J1067">
        <v>20.5</v>
      </c>
      <c r="K1067">
        <v>25.8</v>
      </c>
      <c r="L1067">
        <v>11</v>
      </c>
      <c r="M1067">
        <v>413</v>
      </c>
      <c r="O1067">
        <f t="shared" si="32"/>
        <v>2478</v>
      </c>
      <c r="P1067">
        <f t="shared" si="33"/>
        <v>36</v>
      </c>
    </row>
    <row r="1068" spans="1:16" x14ac:dyDescent="0.25">
      <c r="A1068">
        <v>2014</v>
      </c>
      <c r="B1068" t="s">
        <v>308</v>
      </c>
      <c r="C1068" t="s">
        <v>318</v>
      </c>
      <c r="D1068" t="s">
        <v>193</v>
      </c>
      <c r="E1068">
        <v>6</v>
      </c>
      <c r="F1068">
        <v>8</v>
      </c>
      <c r="G1068" t="s">
        <v>33</v>
      </c>
      <c r="H1068" t="s">
        <v>148</v>
      </c>
      <c r="I1068">
        <v>30.2</v>
      </c>
      <c r="J1068">
        <v>20.5</v>
      </c>
      <c r="K1068">
        <v>25.8</v>
      </c>
      <c r="L1068">
        <v>11</v>
      </c>
      <c r="M1068">
        <v>413</v>
      </c>
      <c r="O1068">
        <f t="shared" si="32"/>
        <v>2478</v>
      </c>
      <c r="P1068">
        <f t="shared" si="33"/>
        <v>36</v>
      </c>
    </row>
    <row r="1069" spans="1:16" x14ac:dyDescent="0.25">
      <c r="E1069" t="s">
        <v>771</v>
      </c>
      <c r="M1069" t="s">
        <v>758</v>
      </c>
      <c r="O1069" t="s">
        <v>772</v>
      </c>
    </row>
    <row r="1070" spans="1:16" x14ac:dyDescent="0.25">
      <c r="E1070">
        <f>SUM(E1:E1068)</f>
        <v>3570.4999999999955</v>
      </c>
      <c r="M1070">
        <f>SUM(M1:M1068)</f>
        <v>273396</v>
      </c>
      <c r="O1070">
        <f>SUM(O1:O1068)</f>
        <v>998477.89999999921</v>
      </c>
    </row>
  </sheetData>
  <autoFilter ref="A1:M1068" xr:uid="{DD0DB814-0CE3-44DB-B2D8-9F86394BC0F1}">
    <sortState xmlns:xlrd2="http://schemas.microsoft.com/office/spreadsheetml/2017/richdata2" ref="A2:M1068">
      <sortCondition ref="K1:K106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FCFE-15D3-441F-BA76-058ABB19128F}">
  <dimension ref="C3:N150"/>
  <sheetViews>
    <sheetView tabSelected="1" workbookViewId="0">
      <selection activeCell="G147" sqref="G147"/>
    </sheetView>
  </sheetViews>
  <sheetFormatPr defaultRowHeight="15" x14ac:dyDescent="0.25"/>
  <cols>
    <col min="4" max="4" width="10" customWidth="1"/>
  </cols>
  <sheetData>
    <row r="3" spans="3:14" x14ac:dyDescent="0.25">
      <c r="C3" t="s">
        <v>775</v>
      </c>
      <c r="E3" t="s">
        <v>764</v>
      </c>
    </row>
    <row r="5" spans="3:14" x14ac:dyDescent="0.25">
      <c r="C5" t="s">
        <v>753</v>
      </c>
      <c r="D5" t="s">
        <v>752</v>
      </c>
    </row>
    <row r="6" spans="3:14" x14ac:dyDescent="0.25">
      <c r="D6" t="s">
        <v>765</v>
      </c>
    </row>
    <row r="8" spans="3:14" x14ac:dyDescent="0.25">
      <c r="D8" t="s">
        <v>754</v>
      </c>
    </row>
    <row r="10" spans="3:14" x14ac:dyDescent="0.25">
      <c r="D10" t="s">
        <v>773</v>
      </c>
      <c r="E10" t="s">
        <v>774</v>
      </c>
    </row>
    <row r="12" spans="3:14" x14ac:dyDescent="0.25">
      <c r="D12" t="s">
        <v>755</v>
      </c>
      <c r="E12" t="s">
        <v>798</v>
      </c>
    </row>
    <row r="13" spans="3:14" x14ac:dyDescent="0.25">
      <c r="D13" t="s">
        <v>756</v>
      </c>
      <c r="E13" t="s">
        <v>759</v>
      </c>
    </row>
    <row r="14" spans="3:14" x14ac:dyDescent="0.25">
      <c r="D14" t="s">
        <v>757</v>
      </c>
      <c r="E14" t="s">
        <v>763</v>
      </c>
    </row>
    <row r="15" spans="3:14" x14ac:dyDescent="0.25">
      <c r="D15" t="s">
        <v>758</v>
      </c>
      <c r="E15" t="s">
        <v>760</v>
      </c>
    </row>
    <row r="16" spans="3:14" x14ac:dyDescent="0.25">
      <c r="M16" s="1" t="s">
        <v>776</v>
      </c>
      <c r="N16">
        <v>1067</v>
      </c>
    </row>
    <row r="17" spans="3:14" x14ac:dyDescent="0.25">
      <c r="D17" t="s">
        <v>761</v>
      </c>
      <c r="N17">
        <f>SUM(FuelConsumptionCo2!E2:E1068)</f>
        <v>3570.4999999999955</v>
      </c>
    </row>
    <row r="19" spans="3:14" x14ac:dyDescent="0.25">
      <c r="C19" t="s">
        <v>762</v>
      </c>
      <c r="N19">
        <f>SUM(FuelConsumptionCo2!M2:M1068)</f>
        <v>273396</v>
      </c>
    </row>
    <row r="21" spans="3:14" x14ac:dyDescent="0.25">
      <c r="D21" t="s">
        <v>798</v>
      </c>
      <c r="H21">
        <f>(N21-N30)/(N23-N25)</f>
        <v>39.125199786711526</v>
      </c>
      <c r="N21">
        <f>SUM(FuelConsumptionCo2!O2:O1068)</f>
        <v>998477.89999999921</v>
      </c>
    </row>
    <row r="23" spans="3:14" x14ac:dyDescent="0.25">
      <c r="N23">
        <f>SUM(FuelConsumptionCo2!P2:P1068)</f>
        <v>14085.02999999999</v>
      </c>
    </row>
    <row r="25" spans="3:14" x14ac:dyDescent="0.25">
      <c r="N25">
        <f>(N17*N17)/N16</f>
        <v>11947.957122774103</v>
      </c>
    </row>
    <row r="26" spans="3:14" x14ac:dyDescent="0.25">
      <c r="D26" t="s">
        <v>766</v>
      </c>
      <c r="H26">
        <f>N28-N27*H21</f>
        <v>125.30409949535775</v>
      </c>
    </row>
    <row r="27" spans="3:14" x14ac:dyDescent="0.25">
      <c r="N27">
        <f>AVERAGE(FuelConsumptionCo2!E2:E1068)</f>
        <v>3.3462980318650377</v>
      </c>
    </row>
    <row r="28" spans="3:14" x14ac:dyDescent="0.25">
      <c r="N28">
        <f>AVERAGE(FuelConsumptionCo2!M2:M1068)</f>
        <v>256.22867853795691</v>
      </c>
    </row>
    <row r="29" spans="3:14" x14ac:dyDescent="0.25">
      <c r="D29" t="s">
        <v>767</v>
      </c>
    </row>
    <row r="30" spans="3:14" x14ac:dyDescent="0.25">
      <c r="N30">
        <f>(N17*N19)/N16</f>
        <v>914864.49671977398</v>
      </c>
    </row>
    <row r="33" spans="4:9" x14ac:dyDescent="0.25">
      <c r="D33" t="s">
        <v>768</v>
      </c>
    </row>
    <row r="38" spans="4:9" x14ac:dyDescent="0.25">
      <c r="D38" t="s">
        <v>777</v>
      </c>
      <c r="E38" t="s">
        <v>778</v>
      </c>
    </row>
    <row r="39" spans="4:9" x14ac:dyDescent="0.25">
      <c r="D39" t="s">
        <v>779</v>
      </c>
      <c r="E39" t="s">
        <v>780</v>
      </c>
    </row>
    <row r="40" spans="4:9" x14ac:dyDescent="0.25">
      <c r="D40" t="s">
        <v>781</v>
      </c>
      <c r="E40" t="s">
        <v>799</v>
      </c>
    </row>
    <row r="41" spans="4:9" x14ac:dyDescent="0.25">
      <c r="D41" t="s">
        <v>782</v>
      </c>
      <c r="E41" t="s">
        <v>783</v>
      </c>
    </row>
    <row r="42" spans="4:9" x14ac:dyDescent="0.25">
      <c r="D42" t="s">
        <v>784</v>
      </c>
      <c r="E42" t="s">
        <v>785</v>
      </c>
    </row>
    <row r="44" spans="4:9" x14ac:dyDescent="0.25">
      <c r="D44" t="s">
        <v>779</v>
      </c>
      <c r="I44" t="s">
        <v>802</v>
      </c>
    </row>
    <row r="46" spans="4:9" x14ac:dyDescent="0.25">
      <c r="E46" t="s">
        <v>786</v>
      </c>
    </row>
    <row r="47" spans="4:9" x14ac:dyDescent="0.25">
      <c r="E47" t="s">
        <v>787</v>
      </c>
    </row>
    <row r="48" spans="4:9" x14ac:dyDescent="0.25">
      <c r="E48" t="s">
        <v>788</v>
      </c>
    </row>
    <row r="50" spans="4:7" x14ac:dyDescent="0.25">
      <c r="F50" t="s">
        <v>796</v>
      </c>
    </row>
    <row r="52" spans="4:7" x14ac:dyDescent="0.25">
      <c r="F52" t="s">
        <v>789</v>
      </c>
    </row>
    <row r="53" spans="4:7" x14ac:dyDescent="0.25">
      <c r="F53" s="2"/>
    </row>
    <row r="54" spans="4:7" x14ac:dyDescent="0.25">
      <c r="F54" s="2" t="s">
        <v>791</v>
      </c>
    </row>
    <row r="55" spans="4:7" x14ac:dyDescent="0.25">
      <c r="F55" s="2" t="s">
        <v>800</v>
      </c>
    </row>
    <row r="56" spans="4:7" x14ac:dyDescent="0.25">
      <c r="F56" s="2" t="s">
        <v>790</v>
      </c>
    </row>
    <row r="58" spans="4:7" x14ac:dyDescent="0.25">
      <c r="E58" t="s">
        <v>792</v>
      </c>
    </row>
    <row r="59" spans="4:7" x14ac:dyDescent="0.25">
      <c r="E59" t="s">
        <v>793</v>
      </c>
    </row>
    <row r="60" spans="4:7" x14ac:dyDescent="0.25">
      <c r="E60" t="s">
        <v>795</v>
      </c>
      <c r="F60" s="3" t="s">
        <v>779</v>
      </c>
      <c r="G60">
        <v>300000</v>
      </c>
    </row>
    <row r="61" spans="4:7" x14ac:dyDescent="0.25">
      <c r="E61" t="s">
        <v>794</v>
      </c>
    </row>
    <row r="64" spans="4:7" x14ac:dyDescent="0.25">
      <c r="D64" t="s">
        <v>781</v>
      </c>
    </row>
    <row r="66" spans="4:7" x14ac:dyDescent="0.25">
      <c r="E66" t="s">
        <v>797</v>
      </c>
    </row>
    <row r="67" spans="4:7" x14ac:dyDescent="0.25">
      <c r="E67" t="s">
        <v>803</v>
      </c>
    </row>
    <row r="68" spans="4:7" x14ac:dyDescent="0.25">
      <c r="E68" s="4" t="s">
        <v>801</v>
      </c>
    </row>
    <row r="70" spans="4:7" x14ac:dyDescent="0.25">
      <c r="D70" t="s">
        <v>782</v>
      </c>
    </row>
    <row r="72" spans="4:7" x14ac:dyDescent="0.25">
      <c r="E72" t="s">
        <v>804</v>
      </c>
    </row>
    <row r="73" spans="4:7" x14ac:dyDescent="0.25">
      <c r="E73" t="s">
        <v>805</v>
      </c>
    </row>
    <row r="75" spans="4:7" x14ac:dyDescent="0.25">
      <c r="D75" t="s">
        <v>777</v>
      </c>
      <c r="G75" t="s">
        <v>809</v>
      </c>
    </row>
    <row r="77" spans="4:7" x14ac:dyDescent="0.25">
      <c r="E77" t="s">
        <v>806</v>
      </c>
    </row>
    <row r="78" spans="4:7" x14ac:dyDescent="0.25">
      <c r="E78" t="s">
        <v>807</v>
      </c>
    </row>
    <row r="79" spans="4:7" x14ac:dyDescent="0.25">
      <c r="E79" t="s">
        <v>808</v>
      </c>
    </row>
    <row r="81" spans="4:5" x14ac:dyDescent="0.25">
      <c r="D81" t="s">
        <v>784</v>
      </c>
    </row>
    <row r="83" spans="4:5" x14ac:dyDescent="0.25">
      <c r="E83" t="s">
        <v>810</v>
      </c>
    </row>
    <row r="84" spans="4:5" x14ac:dyDescent="0.25">
      <c r="E84" t="s">
        <v>811</v>
      </c>
    </row>
    <row r="85" spans="4:5" x14ac:dyDescent="0.25">
      <c r="E85" t="s">
        <v>812</v>
      </c>
    </row>
    <row r="88" spans="4:5" x14ac:dyDescent="0.25">
      <c r="D88" t="s">
        <v>813</v>
      </c>
    </row>
    <row r="90" spans="4:5" x14ac:dyDescent="0.25">
      <c r="E90" t="s">
        <v>814</v>
      </c>
    </row>
    <row r="92" spans="4:5" x14ac:dyDescent="0.25">
      <c r="E92" t="s">
        <v>815</v>
      </c>
    </row>
    <row r="93" spans="4:5" x14ac:dyDescent="0.25">
      <c r="E93" s="4" t="s">
        <v>816</v>
      </c>
    </row>
    <row r="94" spans="4:5" x14ac:dyDescent="0.25">
      <c r="E94" t="s">
        <v>817</v>
      </c>
    </row>
    <row r="95" spans="4:5" x14ac:dyDescent="0.25">
      <c r="E95" t="s">
        <v>818</v>
      </c>
    </row>
    <row r="97" spans="5:5" x14ac:dyDescent="0.25">
      <c r="E97" s="4" t="s">
        <v>822</v>
      </c>
    </row>
    <row r="98" spans="5:5" x14ac:dyDescent="0.25">
      <c r="E98" s="2"/>
    </row>
    <row r="99" spans="5:5" x14ac:dyDescent="0.25">
      <c r="E99" s="2" t="s">
        <v>819</v>
      </c>
    </row>
    <row r="100" spans="5:5" x14ac:dyDescent="0.25">
      <c r="E100" s="2" t="s">
        <v>820</v>
      </c>
    </row>
    <row r="101" spans="5:5" x14ac:dyDescent="0.25">
      <c r="E101" s="2" t="s">
        <v>821</v>
      </c>
    </row>
    <row r="102" spans="5:5" x14ac:dyDescent="0.25">
      <c r="E102" t="s">
        <v>823</v>
      </c>
    </row>
    <row r="105" spans="5:5" x14ac:dyDescent="0.25">
      <c r="E105" t="s">
        <v>824</v>
      </c>
    </row>
    <row r="106" spans="5:5" ht="23.25" x14ac:dyDescent="0.25">
      <c r="E106" s="5" t="s">
        <v>825</v>
      </c>
    </row>
    <row r="107" spans="5:5" x14ac:dyDescent="0.25">
      <c r="E107" s="2"/>
    </row>
    <row r="108" spans="5:5" x14ac:dyDescent="0.25">
      <c r="E108" s="6" t="s">
        <v>828</v>
      </c>
    </row>
    <row r="109" spans="5:5" x14ac:dyDescent="0.25">
      <c r="E109" s="6" t="s">
        <v>829</v>
      </c>
    </row>
    <row r="110" spans="5:5" x14ac:dyDescent="0.25">
      <c r="E110" s="4" t="s">
        <v>826</v>
      </c>
    </row>
    <row r="111" spans="5:5" x14ac:dyDescent="0.25">
      <c r="E111" s="2" t="s">
        <v>827</v>
      </c>
    </row>
    <row r="116" spans="4:5" x14ac:dyDescent="0.25">
      <c r="D116" t="s">
        <v>830</v>
      </c>
    </row>
    <row r="120" spans="4:5" x14ac:dyDescent="0.25">
      <c r="E120" t="s">
        <v>831</v>
      </c>
    </row>
    <row r="122" spans="4:5" x14ac:dyDescent="0.25">
      <c r="E122" t="s">
        <v>832</v>
      </c>
    </row>
    <row r="124" spans="4:5" x14ac:dyDescent="0.25">
      <c r="E124" t="s">
        <v>833</v>
      </c>
    </row>
    <row r="125" spans="4:5" x14ac:dyDescent="0.25">
      <c r="E125" t="s">
        <v>834</v>
      </c>
    </row>
    <row r="127" spans="4:5" x14ac:dyDescent="0.25">
      <c r="E127" t="s">
        <v>835</v>
      </c>
    </row>
    <row r="128" spans="4:5" x14ac:dyDescent="0.25">
      <c r="E128" t="s">
        <v>836</v>
      </c>
    </row>
    <row r="129" spans="5:5" ht="18" x14ac:dyDescent="0.25">
      <c r="E129" s="7" t="s">
        <v>837</v>
      </c>
    </row>
    <row r="131" spans="5:5" x14ac:dyDescent="0.25">
      <c r="E131" t="s">
        <v>838</v>
      </c>
    </row>
    <row r="133" spans="5:5" x14ac:dyDescent="0.25">
      <c r="E133" t="s">
        <v>839</v>
      </c>
    </row>
    <row r="134" spans="5:5" x14ac:dyDescent="0.25">
      <c r="E134" s="2"/>
    </row>
    <row r="135" spans="5:5" x14ac:dyDescent="0.25">
      <c r="E135" s="6" t="s">
        <v>840</v>
      </c>
    </row>
    <row r="136" spans="5:5" x14ac:dyDescent="0.25">
      <c r="E136" s="6" t="s">
        <v>841</v>
      </c>
    </row>
    <row r="138" spans="5:5" x14ac:dyDescent="0.25">
      <c r="E138" t="s">
        <v>842</v>
      </c>
    </row>
    <row r="140" spans="5:5" ht="23.25" x14ac:dyDescent="0.25">
      <c r="E140" s="5" t="s">
        <v>843</v>
      </c>
    </row>
    <row r="141" spans="5:5" x14ac:dyDescent="0.25">
      <c r="E141" s="2"/>
    </row>
    <row r="142" spans="5:5" x14ac:dyDescent="0.25">
      <c r="E142" s="6" t="s">
        <v>844</v>
      </c>
    </row>
    <row r="143" spans="5:5" x14ac:dyDescent="0.25">
      <c r="E143" s="6" t="s">
        <v>845</v>
      </c>
    </row>
    <row r="144" spans="5:5" x14ac:dyDescent="0.25">
      <c r="E144" s="6" t="s">
        <v>846</v>
      </c>
    </row>
    <row r="146" spans="5:5" ht="23.25" x14ac:dyDescent="0.25">
      <c r="E146" s="5" t="s">
        <v>847</v>
      </c>
    </row>
    <row r="148" spans="5:5" x14ac:dyDescent="0.25">
      <c r="E148" t="s">
        <v>848</v>
      </c>
    </row>
    <row r="149" spans="5:5" x14ac:dyDescent="0.25">
      <c r="E149" t="s">
        <v>849</v>
      </c>
    </row>
    <row r="150" spans="5:5" x14ac:dyDescent="0.25">
      <c r="E150" t="s">
        <v>850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FuelConsumptionCo2</vt:lpstr>
      <vt:lpstr>linear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masudur rahman</dc:creator>
  <cp:lastModifiedBy>Md Masudur Rahman</cp:lastModifiedBy>
  <dcterms:created xsi:type="dcterms:W3CDTF">2025-02-11T09:47:38Z</dcterms:created>
  <dcterms:modified xsi:type="dcterms:W3CDTF">2025-02-15T09:02:12Z</dcterms:modified>
</cp:coreProperties>
</file>